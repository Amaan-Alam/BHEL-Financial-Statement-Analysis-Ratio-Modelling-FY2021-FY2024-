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IIT\BHEL Internship\BHEL Financial (Internship)\"/>
    </mc:Choice>
  </mc:AlternateContent>
  <xr:revisionPtr revIDLastSave="0" documentId="8_{DF5C42C9-C702-412E-9A15-C8717D4BC1EA}" xr6:coauthVersionLast="47" xr6:coauthVersionMax="47" xr10:uidLastSave="{00000000-0000-0000-0000-000000000000}"/>
  <bookViews>
    <workbookView xWindow="-120" yWindow="-120" windowWidth="23280" windowHeight="14880" tabRatio="603" activeTab="4" xr2:uid="{502A9526-9FB7-4F06-A6E6-7769CB149A03}"/>
  </bookViews>
  <sheets>
    <sheet name="Balance Sheet" sheetId="2" r:id="rId1"/>
    <sheet name="P&amp;L" sheetId="4" r:id="rId2"/>
    <sheet name="Cash Flow" sheetId="5" r:id="rId3"/>
    <sheet name="Detailed Analysis" sheetId="7" r:id="rId4"/>
    <sheet name="Dashboard" sheetId="8" r:id="rId5"/>
    <sheet name="__tracelight_scratchpad__" sheetId="3" state="veryHidden" r:id="rId6"/>
  </sheets>
  <definedNames>
    <definedName name="_XC_RV_FinAnalysis.Checks" comment="@xc_rv u=1778849115038 | 整合チェック" hidden="1">#REF!</definedName>
    <definedName name="_XC_RV_FinAnalysis.Takeaways" comment="@xc_rv u=1778849114980 | 主要示唆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5" i="8" l="1"/>
  <c r="AA35" i="8"/>
  <c r="AB35" i="8"/>
  <c r="AC35" i="8"/>
  <c r="Z36" i="8"/>
  <c r="AA36" i="8"/>
  <c r="AB36" i="8"/>
  <c r="AC36" i="8"/>
  <c r="Z37" i="8"/>
  <c r="AA37" i="8"/>
  <c r="AB37" i="8"/>
  <c r="AC37" i="8"/>
  <c r="Z31" i="8"/>
  <c r="AA31" i="8"/>
  <c r="AB31" i="8"/>
  <c r="AC31" i="8"/>
  <c r="Z32" i="8"/>
  <c r="AA32" i="8"/>
  <c r="AB32" i="8"/>
  <c r="AC32" i="8"/>
  <c r="Z33" i="8"/>
  <c r="AA33" i="8"/>
  <c r="AB33" i="8"/>
  <c r="AC33" i="8"/>
  <c r="Z34" i="8"/>
  <c r="AA34" i="8"/>
  <c r="AB34" i="8"/>
  <c r="AC34" i="8"/>
  <c r="Z30" i="8"/>
  <c r="AA30" i="8"/>
  <c r="AB30" i="8"/>
  <c r="AC30" i="8"/>
  <c r="Z29" i="8"/>
  <c r="AA29" i="8"/>
  <c r="AB29" i="8"/>
  <c r="AC29" i="8"/>
  <c r="Z26" i="8"/>
  <c r="AA26" i="8"/>
  <c r="AB26" i="8"/>
  <c r="AC26" i="8"/>
  <c r="Z27" i="8"/>
  <c r="AA27" i="8"/>
  <c r="AB27" i="8"/>
  <c r="AC27" i="8"/>
  <c r="Z28" i="8"/>
  <c r="AA28" i="8"/>
  <c r="AB28" i="8"/>
  <c r="AC28" i="8"/>
  <c r="Z25" i="8"/>
  <c r="AA25" i="8"/>
  <c r="AB25" i="8"/>
  <c r="AC25" i="8"/>
  <c r="Z22" i="8"/>
  <c r="AA22" i="8"/>
  <c r="AB22" i="8"/>
  <c r="AC22" i="8"/>
  <c r="Z23" i="8"/>
  <c r="AA23" i="8"/>
  <c r="AB23" i="8"/>
  <c r="AC23" i="8"/>
  <c r="Z24" i="8"/>
  <c r="AA24" i="8"/>
  <c r="AB24" i="8"/>
  <c r="AC24" i="8"/>
  <c r="Z21" i="8"/>
  <c r="AA21" i="8"/>
  <c r="AB21" i="8"/>
  <c r="AC21" i="8"/>
  <c r="Z19" i="8"/>
  <c r="AA19" i="8"/>
  <c r="AB19" i="8"/>
  <c r="AC19" i="8"/>
  <c r="Z20" i="8"/>
  <c r="AA20" i="8"/>
  <c r="AB20" i="8"/>
  <c r="AC20" i="8"/>
  <c r="Z18" i="8"/>
  <c r="AA18" i="8"/>
  <c r="AB18" i="8"/>
  <c r="AC18" i="8"/>
  <c r="Z17" i="8"/>
  <c r="AA17" i="8"/>
  <c r="AB17" i="8"/>
  <c r="AC17" i="8"/>
  <c r="Z16" i="8"/>
  <c r="AA16" i="8"/>
  <c r="AB16" i="8"/>
  <c r="AC16" i="8"/>
  <c r="Z15" i="8"/>
  <c r="AA15" i="8"/>
  <c r="AB15" i="8"/>
  <c r="AC15" i="8"/>
  <c r="Z14" i="8"/>
  <c r="AA14" i="8"/>
  <c r="AB14" i="8"/>
  <c r="AC14" i="8"/>
  <c r="Z13" i="8"/>
  <c r="AA13" i="8"/>
  <c r="AB13" i="8"/>
  <c r="AC13" i="8"/>
  <c r="Z12" i="8"/>
  <c r="AA12" i="8"/>
  <c r="AB12" i="8"/>
  <c r="AC12" i="8"/>
  <c r="Y3" i="8"/>
  <c r="Q14" i="8" s="1" a="1"/>
  <c r="Q14" i="8" s="1"/>
  <c r="Q12" i="8"/>
  <c r="L12" i="8"/>
  <c r="G12" i="8"/>
  <c r="B12" i="8"/>
  <c r="Q7" i="8"/>
  <c r="L7" i="8"/>
  <c r="G7" i="8"/>
  <c r="B7" i="8"/>
  <c r="E170" i="7"/>
  <c r="F170" i="7"/>
  <c r="G170" i="7"/>
  <c r="H170" i="7"/>
  <c r="E169" i="7"/>
  <c r="F169" i="7"/>
  <c r="G169" i="7"/>
  <c r="H169" i="7"/>
  <c r="E168" i="7"/>
  <c r="F168" i="7"/>
  <c r="G168" i="7"/>
  <c r="H168" i="7"/>
  <c r="E167" i="7"/>
  <c r="F167" i="7"/>
  <c r="G167" i="7"/>
  <c r="H167" i="7"/>
  <c r="F98" i="7"/>
  <c r="E88" i="7"/>
  <c r="F88" i="7"/>
  <c r="G88" i="7"/>
  <c r="H88" i="7"/>
  <c r="E89" i="7"/>
  <c r="F89" i="7"/>
  <c r="G89" i="7"/>
  <c r="H89" i="7"/>
  <c r="E87" i="7"/>
  <c r="F87" i="7"/>
  <c r="G87" i="7"/>
  <c r="H87" i="7"/>
  <c r="E84" i="7"/>
  <c r="F84" i="7"/>
  <c r="G84" i="7"/>
  <c r="G91" i="7" s="1"/>
  <c r="H84" i="7"/>
  <c r="H91" i="7" s="1"/>
  <c r="E81" i="7"/>
  <c r="F81" i="7"/>
  <c r="G81" i="7"/>
  <c r="H81" i="7"/>
  <c r="E67" i="7"/>
  <c r="H67" i="7"/>
  <c r="E61" i="7"/>
  <c r="F61" i="7"/>
  <c r="G61" i="7"/>
  <c r="H61" i="7"/>
  <c r="E60" i="7"/>
  <c r="F60" i="7"/>
  <c r="G60" i="7"/>
  <c r="H60" i="7"/>
  <c r="E59" i="7"/>
  <c r="F59" i="7"/>
  <c r="F62" i="7" s="1"/>
  <c r="G59" i="7"/>
  <c r="H59" i="7"/>
  <c r="H62" i="7" s="1"/>
  <c r="E49" i="7"/>
  <c r="F49" i="7"/>
  <c r="G49" i="7"/>
  <c r="H49" i="7"/>
  <c r="E48" i="7"/>
  <c r="F48" i="7"/>
  <c r="G48" i="7"/>
  <c r="E40" i="7"/>
  <c r="F40" i="7"/>
  <c r="F41" i="7" s="1"/>
  <c r="G40" i="7"/>
  <c r="H73" i="7" s="1"/>
  <c r="H40" i="7"/>
  <c r="H41" i="7" s="1"/>
  <c r="E39" i="7"/>
  <c r="F39" i="7"/>
  <c r="G39" i="7"/>
  <c r="H39" i="7"/>
  <c r="E37" i="7"/>
  <c r="F37" i="7"/>
  <c r="G37" i="7"/>
  <c r="H37" i="7"/>
  <c r="H53" i="7" s="1"/>
  <c r="E36" i="7"/>
  <c r="F36" i="7"/>
  <c r="G36" i="7"/>
  <c r="H36" i="7"/>
  <c r="H48" i="7" s="1"/>
  <c r="E34" i="7"/>
  <c r="E47" i="7" s="1"/>
  <c r="F34" i="7"/>
  <c r="F47" i="7" s="1"/>
  <c r="G34" i="7"/>
  <c r="G47" i="7" s="1"/>
  <c r="H34" i="7"/>
  <c r="H46" i="7" s="1"/>
  <c r="E32" i="7"/>
  <c r="F32" i="7"/>
  <c r="G32" i="7"/>
  <c r="H32" i="7"/>
  <c r="E30" i="7"/>
  <c r="E43" i="7" s="1"/>
  <c r="F30" i="7"/>
  <c r="F43" i="7" s="1"/>
  <c r="G30" i="7"/>
  <c r="G43" i="7" s="1"/>
  <c r="H30" i="7"/>
  <c r="H54" i="7" s="1"/>
  <c r="E26" i="7"/>
  <c r="F26" i="7"/>
  <c r="G26" i="7"/>
  <c r="H26" i="7"/>
  <c r="H98" i="7" s="1"/>
  <c r="E24" i="7"/>
  <c r="F24" i="7"/>
  <c r="G24" i="7"/>
  <c r="H24" i="7"/>
  <c r="E22" i="7"/>
  <c r="F22" i="7"/>
  <c r="G22" i="7"/>
  <c r="H22" i="7"/>
  <c r="H25" i="7" s="1"/>
  <c r="E21" i="7"/>
  <c r="F21" i="7"/>
  <c r="G21" i="7"/>
  <c r="H21" i="7"/>
  <c r="E18" i="7"/>
  <c r="F18" i="7"/>
  <c r="G18" i="7"/>
  <c r="H18" i="7"/>
  <c r="E16" i="7"/>
  <c r="F16" i="7"/>
  <c r="F96" i="7" s="1"/>
  <c r="G16" i="7"/>
  <c r="G19" i="7" s="1"/>
  <c r="H16" i="7"/>
  <c r="E14" i="7"/>
  <c r="F14" i="7"/>
  <c r="G14" i="7"/>
  <c r="H14" i="7"/>
  <c r="E15" i="7"/>
  <c r="F15" i="7"/>
  <c r="G15" i="7"/>
  <c r="H15" i="7"/>
  <c r="E11" i="7"/>
  <c r="F11" i="7"/>
  <c r="G11" i="7"/>
  <c r="H11" i="7"/>
  <c r="E8" i="7"/>
  <c r="F8" i="7"/>
  <c r="G8" i="7"/>
  <c r="H8" i="7"/>
  <c r="E9" i="7"/>
  <c r="F9" i="7"/>
  <c r="G9" i="7"/>
  <c r="G10" i="7" s="1"/>
  <c r="H9" i="7"/>
  <c r="H10" i="7" s="1"/>
  <c r="E6" i="7"/>
  <c r="F6" i="7"/>
  <c r="F7" i="7" s="1"/>
  <c r="G6" i="7"/>
  <c r="G7" i="7" s="1"/>
  <c r="H6" i="7"/>
  <c r="Q13" i="8" l="1" a="1"/>
  <c r="Q13" i="8" s="1"/>
  <c r="Q9" i="8" a="1"/>
  <c r="Q9" i="8" s="1"/>
  <c r="G13" i="8" a="1"/>
  <c r="G13" i="8" s="1"/>
  <c r="B9" i="8" a="1"/>
  <c r="B9" i="8" s="1"/>
  <c r="G14" i="8" a="1"/>
  <c r="G14" i="8" s="1"/>
  <c r="L9" i="8" a="1"/>
  <c r="L9" i="8" s="1"/>
  <c r="B13" i="8" a="1"/>
  <c r="B13" i="8" s="1"/>
  <c r="B14" i="8" a="1"/>
  <c r="B14" i="8" s="1"/>
  <c r="L13" i="8" a="1"/>
  <c r="L13" i="8" s="1"/>
  <c r="G9" i="8" a="1"/>
  <c r="G9" i="8" s="1"/>
  <c r="Q8" i="8" a="1"/>
  <c r="Q8" i="8" s="1"/>
  <c r="B8" i="8" a="1"/>
  <c r="B8" i="8" s="1"/>
  <c r="L14" i="8" a="1"/>
  <c r="L14" i="8" s="1"/>
  <c r="L8" i="8" a="1"/>
  <c r="L8" i="8" s="1"/>
  <c r="G8" i="8" a="1"/>
  <c r="G8" i="8" s="1"/>
  <c r="G78" i="7"/>
  <c r="G62" i="7"/>
  <c r="H94" i="7"/>
  <c r="G74" i="7"/>
  <c r="G77" i="7" s="1"/>
  <c r="H72" i="7"/>
  <c r="G94" i="7"/>
  <c r="F74" i="7"/>
  <c r="F73" i="7"/>
  <c r="E73" i="7"/>
  <c r="E76" i="7" s="1"/>
  <c r="F94" i="7"/>
  <c r="G23" i="7"/>
  <c r="H33" i="7"/>
  <c r="G42" i="7"/>
  <c r="G69" i="7" s="1"/>
  <c r="F23" i="7"/>
  <c r="G38" i="7"/>
  <c r="H43" i="7"/>
  <c r="H74" i="7" s="1"/>
  <c r="F10" i="7"/>
  <c r="E23" i="7"/>
  <c r="G46" i="7"/>
  <c r="F63" i="7"/>
  <c r="G67" i="7"/>
  <c r="H100" i="7"/>
  <c r="H12" i="7"/>
  <c r="H13" i="7" s="1"/>
  <c r="H96" i="7"/>
  <c r="E46" i="7"/>
  <c r="E63" i="7"/>
  <c r="F67" i="7"/>
  <c r="F53" i="7"/>
  <c r="G99" i="7"/>
  <c r="E53" i="7"/>
  <c r="H64" i="7"/>
  <c r="H76" i="7"/>
  <c r="H85" i="7"/>
  <c r="H86" i="7" s="1"/>
  <c r="F99" i="7"/>
  <c r="H19" i="7"/>
  <c r="G27" i="7"/>
  <c r="G64" i="7"/>
  <c r="G73" i="7"/>
  <c r="G76" i="7"/>
  <c r="G85" i="7"/>
  <c r="G86" i="7" s="1"/>
  <c r="F91" i="7"/>
  <c r="F19" i="7"/>
  <c r="G97" i="7" s="1"/>
  <c r="H23" i="7"/>
  <c r="F27" i="7"/>
  <c r="F42" i="7"/>
  <c r="F69" i="7" s="1"/>
  <c r="F64" i="7"/>
  <c r="F76" i="7"/>
  <c r="F85" i="7"/>
  <c r="F86" i="7" s="1"/>
  <c r="E91" i="7"/>
  <c r="G100" i="7"/>
  <c r="E12" i="7"/>
  <c r="E13" i="7" s="1"/>
  <c r="E19" i="7"/>
  <c r="E78" i="7" s="1"/>
  <c r="E27" i="7"/>
  <c r="F38" i="7"/>
  <c r="E42" i="7"/>
  <c r="E69" i="7" s="1"/>
  <c r="E66" i="7"/>
  <c r="E72" i="7"/>
  <c r="E75" i="7" s="1"/>
  <c r="E74" i="7"/>
  <c r="E85" i="7"/>
  <c r="E86" i="7" s="1"/>
  <c r="F100" i="7"/>
  <c r="H17" i="7"/>
  <c r="G25" i="7"/>
  <c r="H27" i="7"/>
  <c r="E38" i="7"/>
  <c r="E62" i="7"/>
  <c r="E64" i="7"/>
  <c r="H66" i="7"/>
  <c r="G68" i="7"/>
  <c r="H75" i="7"/>
  <c r="H82" i="7"/>
  <c r="H101" i="7"/>
  <c r="F25" i="7"/>
  <c r="H56" i="7"/>
  <c r="H63" i="7"/>
  <c r="G66" i="7"/>
  <c r="G72" i="7"/>
  <c r="G75" i="7" s="1"/>
  <c r="G82" i="7"/>
  <c r="G98" i="7"/>
  <c r="H102" i="7"/>
  <c r="E25" i="7"/>
  <c r="G53" i="7"/>
  <c r="G41" i="7"/>
  <c r="F46" i="7"/>
  <c r="G63" i="7"/>
  <c r="G65" i="7" s="1"/>
  <c r="F66" i="7"/>
  <c r="E68" i="7"/>
  <c r="F72" i="7"/>
  <c r="F75" i="7" s="1"/>
  <c r="F82" i="7"/>
  <c r="G96" i="7"/>
  <c r="H99" i="7"/>
  <c r="H103" i="7"/>
  <c r="E65" i="7"/>
  <c r="F65" i="7"/>
  <c r="H65" i="7"/>
  <c r="H90" i="7"/>
  <c r="F90" i="7"/>
  <c r="E82" i="7"/>
  <c r="E90" i="7"/>
  <c r="G90" i="7"/>
  <c r="H83" i="7"/>
  <c r="G83" i="7"/>
  <c r="F83" i="7"/>
  <c r="E83" i="7"/>
  <c r="G55" i="7"/>
  <c r="G20" i="7"/>
  <c r="F55" i="7"/>
  <c r="F20" i="7"/>
  <c r="E55" i="7"/>
  <c r="E20" i="7"/>
  <c r="G12" i="7"/>
  <c r="G33" i="7"/>
  <c r="G35" i="7"/>
  <c r="G52" i="7"/>
  <c r="G54" i="7"/>
  <c r="G56" i="7"/>
  <c r="F12" i="7"/>
  <c r="F33" i="7"/>
  <c r="F35" i="7"/>
  <c r="F52" i="7"/>
  <c r="F54" i="7"/>
  <c r="F56" i="7"/>
  <c r="H31" i="7"/>
  <c r="E33" i="7"/>
  <c r="E35" i="7"/>
  <c r="E52" i="7"/>
  <c r="E54" i="7"/>
  <c r="E56" i="7"/>
  <c r="G31" i="7"/>
  <c r="H38" i="7"/>
  <c r="H47" i="7"/>
  <c r="H55" i="7"/>
  <c r="H7" i="7"/>
  <c r="F31" i="7"/>
  <c r="G17" i="7"/>
  <c r="F17" i="7"/>
  <c r="E17" i="7"/>
  <c r="H35" i="7"/>
  <c r="H42" i="7"/>
  <c r="H69" i="7" s="1"/>
  <c r="H52" i="7"/>
  <c r="F68" i="7" l="1"/>
  <c r="F13" i="7"/>
  <c r="F95" i="7"/>
  <c r="E77" i="7"/>
  <c r="G13" i="7"/>
  <c r="G95" i="7"/>
  <c r="H68" i="7"/>
  <c r="H95" i="7"/>
  <c r="F78" i="7"/>
  <c r="F77" i="7"/>
  <c r="F97" i="7"/>
  <c r="H20" i="7"/>
  <c r="H78" i="7"/>
  <c r="H97" i="7"/>
  <c r="H7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<sst xmlns="http://schemas.openxmlformats.org/spreadsheetml/2006/main" count="481" uniqueCount="418">
  <si>
    <t>Bharat Heavy Electricals Limited - Consolidated Balance Sheet</t>
  </si>
  <si>
    <t>As at March 31</t>
  </si>
  <si>
    <t>(₹ in Crore)</t>
  </si>
  <si>
    <t>Particulars</t>
  </si>
  <si>
    <t>As at Mar 31, 2021</t>
  </si>
  <si>
    <t>As at Mar 31, 2022</t>
  </si>
  <si>
    <t>As at Mar 31, 2023</t>
  </si>
  <si>
    <t>As at Mar 31, 2024</t>
  </si>
  <si>
    <t>ASSETS</t>
  </si>
  <si>
    <t>Non-current assets</t>
  </si>
  <si>
    <t>Property, plant and equipment</t>
  </si>
  <si>
    <t>Capital work-in-progress</t>
  </si>
  <si>
    <t>Intangible assets</t>
  </si>
  <si>
    <t>Intangible assets under development</t>
  </si>
  <si>
    <t>Investment accounted for using equity method</t>
  </si>
  <si>
    <t>Financial assets:</t>
  </si>
  <si>
    <t>Investments (NC)</t>
  </si>
  <si>
    <t>Other financial assets (NC)</t>
  </si>
  <si>
    <t>Total financial assets (NC)</t>
  </si>
  <si>
    <t>Deferred tax assets (net)</t>
  </si>
  <si>
    <t>Other non-current assets</t>
  </si>
  <si>
    <t>Total non-current assets</t>
  </si>
  <si>
    <t>Current assets</t>
  </si>
  <si>
    <t>Inventories</t>
  </si>
  <si>
    <t>Trade receivables (Current)</t>
  </si>
  <si>
    <t>Cash and cash equivalents</t>
  </si>
  <si>
    <t>Bank balances other than cash and cash equivalents</t>
  </si>
  <si>
    <t>Other financial assets (Current)</t>
  </si>
  <si>
    <t>Total financial assets (Current)</t>
  </si>
  <si>
    <t>Current tax assets (net)</t>
  </si>
  <si>
    <t>Other current assets</t>
  </si>
  <si>
    <t>Total current assets</t>
  </si>
  <si>
    <t>TOTAL ASSETS</t>
  </si>
  <si>
    <t>EQUITY AND LIABILITIES</t>
  </si>
  <si>
    <t>Equity</t>
  </si>
  <si>
    <t>Equity share capital</t>
  </si>
  <si>
    <t>Other equity</t>
  </si>
  <si>
    <t>Total equity</t>
  </si>
  <si>
    <t>Non-current liabilities</t>
  </si>
  <si>
    <t>Financial liabilities:</t>
  </si>
  <si>
    <t>Lease Liabilities (NC)</t>
  </si>
  <si>
    <t>Trade payables (NC) - MSME</t>
  </si>
  <si>
    <t>Trade payables (NC) - Others</t>
  </si>
  <si>
    <t>Other financial liabilities (NC)</t>
  </si>
  <si>
    <t>Total financial liabilities (NC)</t>
  </si>
  <si>
    <t>Provisions (NC)</t>
  </si>
  <si>
    <t>Other non-current liabilities</t>
  </si>
  <si>
    <t>Total non-current liabilities</t>
  </si>
  <si>
    <t>Current liabilities</t>
  </si>
  <si>
    <t>Borrowings</t>
  </si>
  <si>
    <t>Lease Liabilities (Current)</t>
  </si>
  <si>
    <t>Trade payables (Current) - MSME</t>
  </si>
  <si>
    <t>Trade payables (Current) - Others</t>
  </si>
  <si>
    <t>Other financial liabilities (Current)</t>
  </si>
  <si>
    <t>Total financial liabilities (Current)</t>
  </si>
  <si>
    <t>Provisions (Current)</t>
  </si>
  <si>
    <t>Other current liabilities</t>
  </si>
  <si>
    <t>Total current liabilities</t>
  </si>
  <si>
    <t>Total liabilities</t>
  </si>
  <si>
    <t>TOTAL EQUITY AND LIABILITIES</t>
  </si>
  <si>
    <t>Bharat Heavy Electricals Limited - Consolidated Statement of Profit and Loss</t>
  </si>
  <si>
    <t>For the year ended March 31</t>
  </si>
  <si>
    <t>FY ended Mar 31, 2021</t>
  </si>
  <si>
    <t>FY ended Mar 31, 2022</t>
  </si>
  <si>
    <t>FY ended Mar 31, 2023</t>
  </si>
  <si>
    <t>FY ended Mar 31, 2024</t>
  </si>
  <si>
    <t>INCOME</t>
  </si>
  <si>
    <t>Revenue from operations</t>
  </si>
  <si>
    <t>Other income</t>
  </si>
  <si>
    <t>TOTAL INCOME</t>
  </si>
  <si>
    <t>EXPENSES</t>
  </si>
  <si>
    <t>Cost of raw materials consumed</t>
  </si>
  <si>
    <t>Purchases of Bought out items</t>
  </si>
  <si>
    <t>Civil, erection and engineering expenses</t>
  </si>
  <si>
    <t>Consumption of stores &amp; spares</t>
  </si>
  <si>
    <t>Changes in inventories of finished goods, WIP and Scrap</t>
  </si>
  <si>
    <t>Employee benefits expense</t>
  </si>
  <si>
    <t>Other Expenses</t>
  </si>
  <si>
    <t>Finance costs</t>
  </si>
  <si>
    <t>Depreciation &amp; amortisation expense</t>
  </si>
  <si>
    <t>TOTAL EXPENSES</t>
  </si>
  <si>
    <t>Profit / (loss) before share of JV and tax</t>
  </si>
  <si>
    <t>Share of net profit / (loss) of JV (equity method)</t>
  </si>
  <si>
    <t>PROFIT BEFORE TAX</t>
  </si>
  <si>
    <t>Tax expenses</t>
  </si>
  <si>
    <t>Current tax</t>
  </si>
  <si>
    <t>Deferred tax</t>
  </si>
  <si>
    <t>Total tax expense</t>
  </si>
  <si>
    <t>PROFIT FOR THE YEAR (A)</t>
  </si>
  <si>
    <t>OTHER COMPREHENSIVE INCOME</t>
  </si>
  <si>
    <t>Items that will not be reclassified to profit or loss (net of tax)</t>
  </si>
  <si>
    <t>Remeasurement of defined employee benefits</t>
  </si>
  <si>
    <t>Share of OCI of JV accounted using equity method</t>
  </si>
  <si>
    <t>OTHER COMPREHENSIVE INCOME FOR THE YEAR (B)</t>
  </si>
  <si>
    <t>TOTAL COMPREHENSIVE INCOME FOR THE YEAR (A+B)</t>
  </si>
  <si>
    <t>Earnings per equity share (Face value of Rs 2 each)</t>
  </si>
  <si>
    <t>Basic</t>
  </si>
  <si>
    <t>Diluted</t>
  </si>
  <si>
    <t>Bharat Heavy Electricals Limited - Consolidated Statement of Cash Flows</t>
  </si>
  <si>
    <t>A. CASH FLOW FROM OPERATING ACTIVITIES</t>
  </si>
  <si>
    <t>Profit / (Loss) before tax</t>
  </si>
  <si>
    <t>Adjustments for:</t>
  </si>
  <si>
    <t>Provision and write off</t>
  </si>
  <si>
    <t>Depreciation and amortisation</t>
  </si>
  <si>
    <t>Finance cost (including unwinding of interest)</t>
  </si>
  <si>
    <t>Interest &amp; dividend income</t>
  </si>
  <si>
    <t>Share of loss / (profit) in joint venture</t>
  </si>
  <si>
    <t>Divestment of stake in subsidiary</t>
  </si>
  <si>
    <t>Unrealised Foreign Exchange loss / (gain)</t>
  </si>
  <si>
    <t>Amortisation of Government Grant</t>
  </si>
  <si>
    <t>Others</t>
  </si>
  <si>
    <t>Cash generated / (used) in operations before working capital changes</t>
  </si>
  <si>
    <t>Adjustment for changes in working capital:</t>
  </si>
  <si>
    <t>Trade Receivables</t>
  </si>
  <si>
    <t>Contract Assets</t>
  </si>
  <si>
    <t>Loans, advances &amp; other assets</t>
  </si>
  <si>
    <t>Sub total (Assets side)</t>
  </si>
  <si>
    <t>Trade payable</t>
  </si>
  <si>
    <t>Advances from customers, deposits and others</t>
  </si>
  <si>
    <t>Provisions</t>
  </si>
  <si>
    <t>Sub total (Liabilities side)</t>
  </si>
  <si>
    <t>Net cash (used in) / from working capital</t>
  </si>
  <si>
    <t>Cash generated / (used) in operations</t>
  </si>
  <si>
    <t>Income taxes paid</t>
  </si>
  <si>
    <t>Refund of income taxes</t>
  </si>
  <si>
    <t>Net cash (used in) / from operating activities</t>
  </si>
  <si>
    <t>B. CASH FLOW FROM INVESTING ACTIVITIES</t>
  </si>
  <si>
    <t>Redemption / maturity of bank deposits (orig. maturity &gt; 3 months)</t>
  </si>
  <si>
    <t>Interest received</t>
  </si>
  <si>
    <t>Income received from mutual funds</t>
  </si>
  <si>
    <t>Sale proceeds from Investment</t>
  </si>
  <si>
    <t>Dividend received from joint ventures</t>
  </si>
  <si>
    <t>Sale of PPE &amp; Intangible Assets</t>
  </si>
  <si>
    <t>Purchase of PPE &amp; Intangible Assets</t>
  </si>
  <si>
    <t>Net cash (used in) / from investing activities</t>
  </si>
  <si>
    <t>C. CASH FLOW FROM FINANCING ACTIVITIES</t>
  </si>
  <si>
    <t>Proceeds from short term borrowings</t>
  </si>
  <si>
    <t>Repayment of lease obligation (Principal)</t>
  </si>
  <si>
    <t>Repayment of lease obligation (Interest)</t>
  </si>
  <si>
    <t>Dividend paid</t>
  </si>
  <si>
    <t>Interest paid</t>
  </si>
  <si>
    <t>Net cash (used in) / from financing activities</t>
  </si>
  <si>
    <t>D. Net increase / (decrease) in cash and cash equivalents</t>
  </si>
  <si>
    <t>Opening balance of cash and cash equivalents (excl. cash credit of subsidiary)</t>
  </si>
  <si>
    <t>Adjustment of Cash credit of subsidiary</t>
  </si>
  <si>
    <t>Closing balance of cash and cash equivalents</t>
  </si>
  <si>
    <t>Trade receivables (NC)`</t>
  </si>
  <si>
    <t>FY2021</t>
  </si>
  <si>
    <t>FY2022</t>
  </si>
  <si>
    <t>FY2023</t>
  </si>
  <si>
    <t>FY2024</t>
  </si>
  <si>
    <t>Revenue</t>
  </si>
  <si>
    <t>P&amp;L row 6</t>
  </si>
  <si>
    <t>Revenue growth</t>
  </si>
  <si>
    <t>Total income</t>
  </si>
  <si>
    <t>P&amp;L row 8</t>
  </si>
  <si>
    <t>P&amp;L row 22</t>
  </si>
  <si>
    <t>PBT margin</t>
  </si>
  <si>
    <t>PBT / Revenue</t>
  </si>
  <si>
    <t>P&amp;L row 27</t>
  </si>
  <si>
    <t>PAT margin</t>
  </si>
  <si>
    <t>PAT / Revenue</t>
  </si>
  <si>
    <t>Cash Flow row 32</t>
  </si>
  <si>
    <t>CFO / Revenue</t>
  </si>
  <si>
    <t>FCF / Revenue</t>
  </si>
  <si>
    <t>Total assets</t>
  </si>
  <si>
    <t>Balance Sheet row 31</t>
  </si>
  <si>
    <t>Balance Sheet row 30</t>
  </si>
  <si>
    <t>Current ratio</t>
  </si>
  <si>
    <t>Total cash</t>
  </si>
  <si>
    <t>Total debt</t>
  </si>
  <si>
    <t>Borrowings + lease liabilities</t>
  </si>
  <si>
    <t>Net cash / (debt)</t>
  </si>
  <si>
    <t>Total cash - total debt</t>
  </si>
  <si>
    <t>Balance Sheet row 36</t>
  </si>
  <si>
    <t>ROA</t>
  </si>
  <si>
    <t>ROE</t>
  </si>
  <si>
    <t>Debt / Equity</t>
  </si>
  <si>
    <t>Total debt / total equity</t>
  </si>
  <si>
    <t>Balance Sheet row 23</t>
  </si>
  <si>
    <t>Balance Sheet row 21</t>
  </si>
  <si>
    <t>Financing cash flow</t>
  </si>
  <si>
    <t>Cash Flow row 48</t>
  </si>
  <si>
    <t>Investing cash flow</t>
  </si>
  <si>
    <t>Cash Flow row 41</t>
  </si>
  <si>
    <t>Cash ratio</t>
  </si>
  <si>
    <t>PAT + OCI = TCI</t>
  </si>
  <si>
    <t>Bharat Heavy Electricals Limited - Detailed Financial Analysis</t>
  </si>
  <si>
    <t>Consolidated FY2021-FY2024  |  All figures in INR Crore</t>
  </si>
  <si>
    <t>Source / Definition</t>
  </si>
  <si>
    <t>1. INCOME STATEMENT &amp; PROFITABILITY</t>
  </si>
  <si>
    <t>Revenue growth (YoY)</t>
  </si>
  <si>
    <t>(Current / Prior) - 1</t>
  </si>
  <si>
    <t>P&amp;L row 7</t>
  </si>
  <si>
    <t>Total income growth (YoY)</t>
  </si>
  <si>
    <t>Less: Material &amp; direct costs</t>
  </si>
  <si>
    <t>P&amp;L rows 10-14</t>
  </si>
  <si>
    <t>Gross profit</t>
  </si>
  <si>
    <t>Revenue - Material &amp; direct costs</t>
  </si>
  <si>
    <t>Gross margin</t>
  </si>
  <si>
    <t>Gross profit / Revenue</t>
  </si>
  <si>
    <t>Less: Employee benefits expense</t>
  </si>
  <si>
    <t>P&amp;L row 15</t>
  </si>
  <si>
    <t>Less: Other expenses</t>
  </si>
  <si>
    <t>P&amp;L row 16</t>
  </si>
  <si>
    <t>EBITDA</t>
  </si>
  <si>
    <t>PBT + Finance + D&amp;A</t>
  </si>
  <si>
    <t>EBITDA margin</t>
  </si>
  <si>
    <t>EBITDA / Revenue</t>
  </si>
  <si>
    <t>Less: Depreciation &amp; amortisation</t>
  </si>
  <si>
    <t>P&amp;L row 18</t>
  </si>
  <si>
    <t>EBIT</t>
  </si>
  <si>
    <t>EBITDA - D&amp;A</t>
  </si>
  <si>
    <t>EBIT margin</t>
  </si>
  <si>
    <t>EBIT / Revenue</t>
  </si>
  <si>
    <t>Less: Finance costs</t>
  </si>
  <si>
    <t>P&amp;L row 17</t>
  </si>
  <si>
    <t>Profit before tax (PBT)</t>
  </si>
  <si>
    <t>Less: Total tax expense</t>
  </si>
  <si>
    <t>P&amp;L row 26</t>
  </si>
  <si>
    <t>Effective tax rate</t>
  </si>
  <si>
    <t>Tax / PBT</t>
  </si>
  <si>
    <t>Profit after tax (PAT)</t>
  </si>
  <si>
    <t>2. BALANCE SHEET SNAPSHOT</t>
  </si>
  <si>
    <t>Asset growth (YoY)</t>
  </si>
  <si>
    <t>Balance Sheet row 19</t>
  </si>
  <si>
    <t>% of total assets</t>
  </si>
  <si>
    <t>NC assets / Total assets</t>
  </si>
  <si>
    <t>Current assets / Total assets</t>
  </si>
  <si>
    <t>Total cash &amp; bank balances</t>
  </si>
  <si>
    <t>BS rows 24 + 25</t>
  </si>
  <si>
    <t>Balance Sheet row 58</t>
  </si>
  <si>
    <t>Equity growth (YoY)</t>
  </si>
  <si>
    <t>Working capital (CA - CL)</t>
  </si>
  <si>
    <t>Current assets - current liabilities</t>
  </si>
  <si>
    <t>Capital employed</t>
  </si>
  <si>
    <t>Total assets - current liabilities</t>
  </si>
  <si>
    <t>3. LIQUIDITY RATIOS</t>
  </si>
  <si>
    <t>CA / CL</t>
  </si>
  <si>
    <t>Quick ratio</t>
  </si>
  <si>
    <t>(CA - Inventories) / CL</t>
  </si>
  <si>
    <t>Total cash / CL</t>
  </si>
  <si>
    <t>Operating cash flow ratio</t>
  </si>
  <si>
    <t>CFO / CL</t>
  </si>
  <si>
    <t>4. SOLVENCY &amp; LEVERAGE</t>
  </si>
  <si>
    <t>Debt / Total assets</t>
  </si>
  <si>
    <t>Total debt / total assets</t>
  </si>
  <si>
    <t>Equity multiplier</t>
  </si>
  <si>
    <t>Total assets / total equity</t>
  </si>
  <si>
    <t>Interest coverage</t>
  </si>
  <si>
    <t>EBIT / Finance costs</t>
  </si>
  <si>
    <t>Debt / EBITDA</t>
  </si>
  <si>
    <t>Total debt / EBITDA</t>
  </si>
  <si>
    <t>5. ACTIVITY &amp; EFFICIENCY</t>
  </si>
  <si>
    <t>Trade payables (Current)</t>
  </si>
  <si>
    <t>BS rows 51 + 52</t>
  </si>
  <si>
    <t>Days Sales Outstanding (DSO)</t>
  </si>
  <si>
    <t>AR / Revenue * 365</t>
  </si>
  <si>
    <t>Days Inventory Outstanding (DIO)</t>
  </si>
  <si>
    <t>Inventories / Revenue * 365</t>
  </si>
  <si>
    <t>Days Payable Outstanding (DPO)</t>
  </si>
  <si>
    <t>AP / Revenue * 365</t>
  </si>
  <si>
    <t>Cash Conversion Cycle</t>
  </si>
  <si>
    <t>DSO + DIO - DPO</t>
  </si>
  <si>
    <t>Asset turnover</t>
  </si>
  <si>
    <t>Revenue / Average assets</t>
  </si>
  <si>
    <t>Fixed asset turnover</t>
  </si>
  <si>
    <t>Revenue / PP&amp;E</t>
  </si>
  <si>
    <t>Working capital turnover</t>
  </si>
  <si>
    <t>Revenue / Working capital</t>
  </si>
  <si>
    <t>Working capital / Revenue</t>
  </si>
  <si>
    <t>6. PROFITABILITY &amp; RETURNS</t>
  </si>
  <si>
    <t>Average total assets</t>
  </si>
  <si>
    <t>(Opening + Closing) / 2; FY21 closing</t>
  </si>
  <si>
    <t>Average total equity</t>
  </si>
  <si>
    <t>Average capital employed</t>
  </si>
  <si>
    <t>Return on Assets (ROA)</t>
  </si>
  <si>
    <t>PAT / Average assets</t>
  </si>
  <si>
    <t>Return on Equity (ROE)</t>
  </si>
  <si>
    <t>PAT / Average equity</t>
  </si>
  <si>
    <t>Return on Capital Employed (ROCE)</t>
  </si>
  <si>
    <t>EBIT / Average capital employed</t>
  </si>
  <si>
    <t>Return on Sales (ROS)</t>
  </si>
  <si>
    <t>7. CASH FLOW ANALYSIS</t>
  </si>
  <si>
    <t>Operating cash flow (CFO)</t>
  </si>
  <si>
    <t>CFO / Net income</t>
  </si>
  <si>
    <t>CFO / PAT (cash earnings quality)</t>
  </si>
  <si>
    <t>Capital expenditure</t>
  </si>
  <si>
    <t>Cash Flow row 40 (absolute)</t>
  </si>
  <si>
    <t>Free cash flow (FCF)</t>
  </si>
  <si>
    <t>CFO - Capex</t>
  </si>
  <si>
    <t>Net change in cash</t>
  </si>
  <si>
    <t>Cash Flow row 49</t>
  </si>
  <si>
    <t>Capex / Revenue</t>
  </si>
  <si>
    <t>Capex / Depreciation</t>
  </si>
  <si>
    <t>Capex / D&amp;A (reinvestment ratio)</t>
  </si>
  <si>
    <t>8. GROWTH METRICS (YoY)</t>
  </si>
  <si>
    <t>P&amp;L row 6 YoY</t>
  </si>
  <si>
    <t>Gross profit growth</t>
  </si>
  <si>
    <t>Gross profit YoY</t>
  </si>
  <si>
    <t>EBITDA growth</t>
  </si>
  <si>
    <t>EBITDA YoY</t>
  </si>
  <si>
    <t>EBIT growth</t>
  </si>
  <si>
    <t>EBIT YoY</t>
  </si>
  <si>
    <t>PAT growth</t>
  </si>
  <si>
    <t>PAT YoY (n/a if prior-year loss)</t>
  </si>
  <si>
    <t>Total assets growth</t>
  </si>
  <si>
    <t>BS row 31 YoY</t>
  </si>
  <si>
    <t>Equity growth</t>
  </si>
  <si>
    <t>BS row 36 YoY</t>
  </si>
  <si>
    <t>Revenue CAGR FY21-FY24</t>
  </si>
  <si>
    <t>3-year CAGR</t>
  </si>
  <si>
    <t>Total income CAGR FY21-FY24</t>
  </si>
  <si>
    <t>Assets CAGR FY21-FY24</t>
  </si>
  <si>
    <t>Revenue &amp; Income</t>
  </si>
  <si>
    <t>Revenue grew at ~11.3% CAGR from FY21 to FY24 (17,308.7 to 23,892.8) but FY24 YoY growth slowed sharply to 2.3%, pointing to top-line momentum loss.</t>
  </si>
  <si>
    <t>Gross margin compressed from 31.4% in FY21 to 29.7% in FY24, indicating rising material and direct-cost intensity that is eroding underlying profitability.</t>
  </si>
  <si>
    <t>EBITDA recovered from a loss of (2,748.7) in FY21 (one-off provision impact) to 1,222.9 in FY24 but the FY24 EBITDA margin of 5.1% remains structurally low for an engineering business.</t>
  </si>
  <si>
    <t>Profitability</t>
  </si>
  <si>
    <t>PAT swung from (2,699.7) in FY21 to 282.2 in FY24; however PAT margin halved from 2.1% (FY22) to 1.2% (FY24) on rising finance and other costs.</t>
  </si>
  <si>
    <t>ROE remains weak at 1.1% in FY24 (vs 1.8% in FY23); ROCE is similarly subdued, signalling capital is not earning its cost.</t>
  </si>
  <si>
    <t>Effective tax rate is volatile due to deferred tax movements; in FY21 the tax shield boosted reported losses (effective rate of 24.9% on a loss).</t>
  </si>
  <si>
    <t>Liquidity &amp; Solvency</t>
  </si>
  <si>
    <t>Current ratio held above 1.0x (1.36x in FY24) but cash ratio fell from 0.33x (FY21) to 0.24x (FY24) - liquidity is increasingly inventory- and receivable-dependent.</t>
  </si>
  <si>
    <t>Total debt rose 78% YoY in FY24 to 8,856.5 (vs 5,453.5 in FY23) driven by short-term borrowings; the company moved from net cash of 1,189.1 to net debt of (2,699.0).</t>
  </si>
  <si>
    <t>D/E rose from 0.20x to 0.36x and Debt/EBITDA worsened to 7.24x in FY24, indicating leverage strain relative to cash earnings power.</t>
  </si>
  <si>
    <t>Working Capital &amp; Cash Flow</t>
  </si>
  <si>
    <t>Operating cash flow deteriorated materially - CFO of (3,712.9) in FY24 vs +660.3 in FY22 - driven by a 2,469 build in trade receivables and 1,244 contract-asset growth.</t>
  </si>
  <si>
    <t>Cash Conversion Cycle deteriorated: DSO + DIO - DPO widened, signalling slower cash collection and weaker working-capital discipline.</t>
  </si>
  <si>
    <t>FCF of (3,945.4) in FY24 (vs (929.9) in FY23) combined with rising debt suggests the company is funding operating shortfalls through borrowings.</t>
  </si>
  <si>
    <t>Returns &amp; Activity</t>
  </si>
  <si>
    <t>Asset turnover remains low at ~0.40x (FY24), reflecting heavy non-current assets (deferred tax, long-term receivables) relative to revenue.</t>
  </si>
  <si>
    <t>Working capital intensity is elevated at 38.6% of revenue in FY24, tying up significant operating cash.</t>
  </si>
  <si>
    <t>Balance Sheet balances</t>
  </si>
  <si>
    <t>Total assets = Total equity + liabilities</t>
  </si>
  <si>
    <t>Cash matches Balance Sheet</t>
  </si>
  <si>
    <t>CF closing cash - BS cash line</t>
  </si>
  <si>
    <t>PBT cross-check (P&amp;L vs CF)</t>
  </si>
  <si>
    <t>P&amp;L PBT - CF PBT</t>
  </si>
  <si>
    <t>P&amp;L row 27 + 32 - 33</t>
  </si>
  <si>
    <t>10. FY2022 YEAR-IN-REVIEW</t>
  </si>
  <si>
    <t>Revenue rebounded sharply to 21,211.1 (+22.5% YoY) from the pandemic-affected FY21 base of 17,308.7, marking the strongest growth year in the series.</t>
  </si>
  <si>
    <t>Total income grew 22.1% to 21,565.6; other income at 354.5 (1.6% of total) - operating revenue was the principal recovery driver, not non-operating items.</t>
  </si>
  <si>
    <t>PBT swung 4,066.4 to a profit of 470.5 (from a (3,595.9) loss), reflecting absence of the large FY21 provisions/write-offs that had inflated other expenses.</t>
  </si>
  <si>
    <t>PAT margin recovered to 2.1% (from -15.6%); gross margin compressed modestly from 31.4% to 30.3% as material and direct-cost intensity ticked up.</t>
  </si>
  <si>
    <t>ROE re-established at 1.7% and ROA at 0.8% - return profile restored but still subdued for an engineering &amp; capital goods business of this scale.</t>
  </si>
  <si>
    <t>Liquidity tightened slightly: current ratio fell from 1.39x to 1.30x as current liabilities outpaced current assets; cash ratio held flat at 0.33x.</t>
  </si>
  <si>
    <t>Total debt declined to 4,829.9 (-2.4% YoY), driven by lease liability repayments; net cash position improved from 1,750.6 to 2,323.8.</t>
  </si>
  <si>
    <t>D/E ratio improved to 0.18x - the lowest leverage in the series - signalling a conservative capital structure post-FY21 stress.</t>
  </si>
  <si>
    <t>Operating cash flow improved to 660.3 (vs 560.0 in FY21); FCF of 490.9 confirmed organic cash generation despite the moderate PAT level.</t>
  </si>
  <si>
    <t>Major receivables release: DSO collapsed from 85.1 to 52.0 days - a 33-day collection improvement that freed significant working capital.</t>
  </si>
  <si>
    <t>Inventory days improved from 151.7 to 112.9 as inventory cycles aligned with order delivery; working capital intensity fell from 46.1% to 30.6% of revenue.</t>
  </si>
  <si>
    <t>Asset turnover ticked up to 0.38x (from 0.31x) as revenue recovered against a broadly stable asset base of 56,243.8.</t>
  </si>
  <si>
    <t>Capex of 169.4 was the lowest in the series, indicating limited reinvestment despite the operational recovery - reinvestment ratio of just 0.54x of D&amp;A.</t>
  </si>
  <si>
    <t>11. FY2021 YEAR-IN-REVIEW</t>
  </si>
  <si>
    <t>Revenue at 17,308.7 represents a depressed top-line, with project execution disrupted by COVID-19 and a broader infrastructure capex slowdown.</t>
  </si>
  <si>
    <t>Other income contributed 348.4 (2.0% of total income) - operating revenue dominated the income mix; no meaningful non-operating support.</t>
  </si>
  <si>
    <t>PBT loss of (3,595.9) was driven by Other Expenses spiking to 3,201.2 (vs ~163 in FY22), reflecting one-off provisions, write-offs and exceptional charges.</t>
  </si>
  <si>
    <t>Gross margin at 31.4% was the highest in the series - the loss originated below the gross line in employee costs (5,378.2) and exceptional other expenses, not in core operations.</t>
  </si>
  <si>
    <t>Reported tax credit of (896.2) included a 912.1 deferred tax benefit, materially cushioning the headline bottom-line loss of (2,699.7).</t>
  </si>
  <si>
    <t>Despite the heavy loss, balance sheet stayed robust: current ratio at 1.39x and total equity of 25,972.0 covered total liabilities ~0.89x.</t>
  </si>
  <si>
    <t>Net cash position of 1,750.6 (cash 6,701.5 against debt 4,950.9) provided substantial financial buffer through the loss-making year.</t>
  </si>
  <si>
    <t>D/E at 0.19x reflected conservative pre-FY22 capital structure; Debt/EBITDA was meaningless given negative EBITDA of (2,748.7).</t>
  </si>
  <si>
    <t>Operating cash flow stayed positive at 560.0 despite the PAT loss - non-cash provisions of 1,241.1 and depreciation of 473.3 bridged the accounting-to-cash gap.</t>
  </si>
  <si>
    <t>FCF of 309.6 indicates the FY21 loss was largely a non-cash accounting event (provisions, deferred tax) rather than an immediate liquidity crisis.</t>
  </si>
  <si>
    <t>Working capital was inflated: DSO of 85.1 days and DIO of 151.7 days were both the highest in the series, with working capital at 46.1% of revenue.</t>
  </si>
  <si>
    <t>ROE at -10.4% and ROA at -4.9% reflect the loss-making year; both metrics improved sharply in FY22 on operational recovery.</t>
  </si>
  <si>
    <t>Asset turnover at 0.31x was the lowest in the series, indicating capital was poorly utilized against the depressed revenue base.</t>
  </si>
  <si>
    <t>12. INTEGRITY CHECKS</t>
  </si>
  <si>
    <t>9. FY2024 YEAR-IN-REVIEW</t>
  </si>
  <si>
    <t>BHEL  |  FINANCIAL DASHBOARD</t>
  </si>
  <si>
    <t>Bharat Heavy Electricals Limited - Consolidated FY2021-FY2024 (₹ Crore)</t>
  </si>
  <si>
    <t>▶ SPOTLIGHT YEAR:</t>
  </si>
  <si>
    <t>◀ Change the cell to update all KPI tiles. Type FY2021, FY2022, FY2023, or FY2024.</t>
  </si>
  <si>
    <t>REVENUE</t>
  </si>
  <si>
    <t>PROFIT AFTER TAX</t>
  </si>
  <si>
    <t>FREE CASH FLOW</t>
  </si>
  <si>
    <t>NET CASH / (DEBT)</t>
  </si>
  <si>
    <t>RETURN ON EQUITY</t>
  </si>
  <si>
    <t>CURRENT RATIO</t>
  </si>
  <si>
    <t>DEBT / EBITDA</t>
  </si>
  <si>
    <t>4-YEAR TRENDS  |  ALL FIGURES IN ₹ CRORE UNLESS NOTED</t>
  </si>
  <si>
    <t>— helper data (hidden axis) —</t>
  </si>
  <si>
    <t>PAT</t>
  </si>
  <si>
    <t>CFO</t>
  </si>
  <si>
    <t>Investing CF</t>
  </si>
  <si>
    <t>Financing CF</t>
  </si>
  <si>
    <t>FCF</t>
  </si>
  <si>
    <t>Net cash/(debt)</t>
  </si>
  <si>
    <t>D/E</t>
  </si>
  <si>
    <t>Debt/EBITDA</t>
  </si>
  <si>
    <t>DSO</t>
  </si>
  <si>
    <t>DIO</t>
  </si>
  <si>
    <t>DPO</t>
  </si>
  <si>
    <t>CCC</t>
  </si>
  <si>
    <t>ROCE</t>
  </si>
  <si>
    <t>KEY OBSERVATIONS  |  FY2021 → FY2024</t>
  </si>
  <si>
    <t>INSIGHTS &amp; RECOMMENDATIONS</t>
  </si>
  <si>
    <t>↑ STRENGTH  |  Operational Recovery</t>
  </si>
  <si>
    <t>Revenue rebuilt from ₹17,309 Cr (FY21) to ₹23,893 Cr (FY24) at 11.3% CAGR; EBITDA turned from a (2,749) loss to +1,223; PAT positive every year since FY22. The operational engine is functioning despite cyclical headwinds.</t>
  </si>
  <si>
    <t>↓ RISK  |  Cash Flow Reversal</t>
  </si>
  <si>
    <t>Operating cash flow swung from +₹660 Cr (FY22) to (₹3,713) Cr (FY24). FCF deteriorated to (₹3,945) Cr. The deterioration is concentrated in working capital - receivables built ₹2,469 Cr and contract assets continue expanding, signalling slower collections on long-cycle projects.</t>
  </si>
  <si>
    <t>↓ RISK  |  Leverage Inflection</t>
  </si>
  <si>
    <t>Net position moved from net cash of ₹1,189 Cr (FY23) to net debt of (₹2,699) Cr (FY24). Total debt grew 78% YoY to ₹8,857 Cr - short-term borrowings funding working capital. Debt / EBITDA at 7.24x is materially stretched for an engineering business.</t>
  </si>
  <si>
    <t>→ WATCH  |  Margin Compression</t>
  </si>
  <si>
    <t>Gross margin contracted from 31.4% (FY21) to 29.7% (FY24); EBITDA margin at 5.1% remains structurally thin. Material and direct-cost intensity is rising while finance costs nearly doubled - from ₹374 Cr (FY21) to ₹731 Cr (FY24).</t>
  </si>
  <si>
    <t>→ WATCH  |  Return Profile Weak</t>
  </si>
  <si>
    <t>ROE at 1.1% and ROCE at 2.8% (FY24) are well below cost of capital. Asset turnover at 0.40x reflects heavy non-current assets (deferred tax, long-term receivables) that are not generating proportional revenue.</t>
  </si>
  <si>
    <t>↑ STRENGTH  |  Liquidity Cushion</t>
  </si>
  <si>
    <t>Current ratio of 1.36x and quick ratio of 1.08x remain above 1.0x. Total cash &amp; bank balances of ₹6,157 Cr in FY24 still provide a meaningful buffer even after the leverage build.</t>
  </si>
  <si>
    <t>■ RECOMMENDED ACTIONS  |  Working Capital</t>
  </si>
  <si>
    <t>Tighten collections discipline - DSO rose from 49 to 73 days; review project milestone-billing terms. Consider receivables factoring/securitization to release tied-up cash and reduce reliance on short-term borrowings.</t>
  </si>
  <si>
    <t>■ RECOMMENDED ACTIONS  |  Capital Structure</t>
  </si>
  <si>
    <t>Term out short-term borrowings into longer-tenor debt to better match long-cycle project assets. Re-establish a net cash buffer through asset monetisation (long-term receivables, surplus land) to reduce Debt/EBITDA below 3.0x.</t>
  </si>
  <si>
    <t>■ RECOMMENDED ACTIONS  |  Margin Restoration</t>
  </si>
  <si>
    <t>Renegotiate input contracts and review pricing on long-cycle orders booked at outdated cost assumptions. Track project-level margin to identify drag from legacy orders. Target EBITDA margin of 8-10% by FY26.</t>
  </si>
  <si>
    <t>NOTE</t>
  </si>
  <si>
    <t>All figures are pulled live from the Detailed Analysis sheet. Change the Spotlight Year cell (C4) to refresh the KPI tiles. Source statements: P&amp;L, Balance Sheet, Cash Flow. Currency: INR Crore unless otherwise noted.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</si>
</sst>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164" formatCode="#,##0.00_);\(#,##0.00\);&quot;--&quot;"/>
    <numFmt numFmtId="165" formatCode="#,##0.0;[Red]\(#,##0.0\);\–"/>
    <numFmt numFmtId="167" formatCode="0.00\x"/>
    <numFmt numFmtId="168" formatCode="0.0"/>
    <numFmt numFmtId="169" formatCode="0.0%;[Red]\(0.0%\);\–"/>
    <numFmt numFmtId="170" formatCode="#,##0.00;[Red]\(#,##0.00\);\–"/>
    <numFmt numFmtId="171" formatCode="0.00&quot;x&quot;"/>
    <numFmt numFmtId="172" formatCode="&quot;vs PY: &quot;\+0.0%;[Red]&quot;vs PY: &quot;\-0.0%;&quot;— first year —&quot;"/>
    <numFmt numFmtId="173" formatCode="&quot;vs PY: &quot;\+#,##0.0;[Red]&quot;vs PY: &quot;\-#,##0.0;&quot;— first year —&quot;"/>
    <numFmt numFmtId="174" formatCode="&quot;vs PY: &quot;\+0.0%&quot; pts&quot;;[Red]&quot;vs PY: &quot;\-0.0%&quot; pts&quot;;&quot;— first year —&quot;"/>
    <numFmt numFmtId="175" formatCode="&quot;vs PY: &quot;\+0.00&quot;x&quot;;[Red]&quot;vs PY: &quot;\-0.00&quot;x&quot;;&quot;— first year —&quot;"/>
    <numFmt numFmtId="176" formatCode="[Red]&quot;vs PY: &quot;\+0.00&quot;x&quot;;&quot;vs PY: &quot;\-0.00&quot;x&quot;;&quot;— first year —&quot;"/>
  </numFmts>
  <fonts count="25" x14ac:knownFonts="1">
    <font>
      <sz val="12"/>
      <color theme="1"/>
      <name val="Aptos"/>
      <family val="2"/>
    </font>
    <font>
      <b/>
      <sz val="12"/>
      <color theme="1"/>
      <name val="Aptos"/>
      <family val="2"/>
    </font>
    <font>
      <i/>
      <sz val="12"/>
      <color theme="1"/>
      <name val="Aptos"/>
      <family val="2"/>
    </font>
    <font>
      <i/>
      <sz val="10"/>
      <color theme="1"/>
      <name val="Aptos"/>
      <family val="2"/>
    </font>
    <font>
      <b/>
      <sz val="12"/>
      <color rgb="FFFFFFFF"/>
      <name val="Aptos"/>
      <family val="2"/>
    </font>
    <font>
      <b/>
      <sz val="16"/>
      <color theme="0"/>
      <name val="Aptos"/>
      <family val="2"/>
    </font>
    <font>
      <b/>
      <sz val="16"/>
      <color theme="1"/>
      <name val="Aptos"/>
      <family val="2"/>
    </font>
    <font>
      <b/>
      <sz val="14"/>
      <color rgb="FFFFFFFF"/>
      <name val="Aptos"/>
      <family val="2"/>
    </font>
    <font>
      <b/>
      <sz val="11"/>
      <color rgb="FFFFFFFF"/>
      <name val="Aptos"/>
      <family val="2"/>
    </font>
    <font>
      <sz val="12"/>
      <color rgb="FF70AD47"/>
      <name val="Aptos"/>
      <family val="2"/>
    </font>
    <font>
      <b/>
      <sz val="16"/>
      <color rgb="FFFFFFFF"/>
      <name val="Aptos"/>
      <family val="2"/>
    </font>
    <font>
      <i/>
      <sz val="12"/>
      <color rgb="FF666666"/>
      <name val="Aptos"/>
      <family val="2"/>
    </font>
    <font>
      <i/>
      <sz val="9"/>
      <color rgb="FF666666"/>
      <name val="Aptos"/>
      <family val="2"/>
    </font>
    <font>
      <b/>
      <i/>
      <sz val="9"/>
      <color rgb="FF666666"/>
      <name val="Aptos"/>
      <family val="2"/>
    </font>
    <font>
      <b/>
      <sz val="12"/>
      <color rgb="FF70AD47"/>
      <name val="Aptos"/>
      <family val="2"/>
    </font>
    <font>
      <b/>
      <sz val="12"/>
      <color rgb="FF0070C0"/>
      <name val="Aptos"/>
      <family val="2"/>
    </font>
    <font>
      <b/>
      <i/>
      <sz val="9"/>
      <color rgb="FFFFFFFF"/>
      <name val="Aptos"/>
      <family val="2"/>
    </font>
    <font>
      <b/>
      <i/>
      <sz val="12"/>
      <color rgb="FF666666"/>
      <name val="Aptos"/>
      <family val="2"/>
    </font>
    <font>
      <b/>
      <i/>
      <sz val="12"/>
      <color rgb="FFFFFFFF"/>
      <name val="Aptos"/>
      <family val="2"/>
    </font>
    <font>
      <b/>
      <sz val="18"/>
      <color rgb="FFFFFFFF"/>
      <name val="Aptos"/>
      <family val="2"/>
    </font>
    <font>
      <b/>
      <i/>
      <sz val="10"/>
      <color rgb="FFFFFFFF"/>
      <name val="Aptos"/>
      <family val="2"/>
    </font>
    <font>
      <sz val="8"/>
      <color rgb="FFBFBFBF"/>
      <name val="Aptos"/>
      <family val="2"/>
    </font>
    <font>
      <b/>
      <sz val="9"/>
      <color rgb="FFFFFFFF"/>
      <name val="Aptos"/>
      <family val="2"/>
    </font>
    <font>
      <sz val="14"/>
      <color theme="1"/>
      <name val="Aptos"/>
      <family val="2"/>
    </font>
    <font>
      <b/>
      <sz val="18"/>
      <color theme="1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rgb="FF2C3E2A"/>
        <bgColor indexed="64"/>
      </patternFill>
    </fill>
    <fill>
      <patternFill patternType="solid">
        <fgColor rgb="FF3D5A3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38572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C000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7F7F7F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/>
      <right/>
      <top style="thin">
        <color rgb="FF002060"/>
      </top>
      <bottom/>
      <diagonal/>
    </border>
    <border>
      <left style="thin">
        <color rgb="FF002060"/>
      </left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/>
      <top/>
      <bottom style="hair">
        <color rgb="FF7F7F7F"/>
      </bottom>
      <diagonal/>
    </border>
    <border>
      <left/>
      <right/>
      <top/>
      <bottom style="hair">
        <color rgb="FF7F7F7F"/>
      </bottom>
      <diagonal/>
    </border>
    <border>
      <left/>
      <right style="thin">
        <color rgb="FF002060"/>
      </right>
      <top/>
      <bottom style="hair">
        <color rgb="FF7F7F7F"/>
      </bottom>
      <diagonal/>
    </border>
    <border>
      <left style="thin">
        <color rgb="FF002060"/>
      </left>
      <right/>
      <top style="hair">
        <color rgb="FF7F7F7F"/>
      </top>
      <bottom style="hair">
        <color rgb="FF7F7F7F"/>
      </bottom>
      <diagonal/>
    </border>
    <border>
      <left/>
      <right/>
      <top style="hair">
        <color rgb="FF7F7F7F"/>
      </top>
      <bottom style="hair">
        <color rgb="FF7F7F7F"/>
      </bottom>
      <diagonal/>
    </border>
    <border>
      <left/>
      <right style="thin">
        <color rgb="FF002060"/>
      </right>
      <top style="hair">
        <color rgb="FF7F7F7F"/>
      </top>
      <bottom style="hair">
        <color rgb="FF7F7F7F"/>
      </bottom>
      <diagonal/>
    </border>
    <border>
      <left style="thin">
        <color rgb="FF002060"/>
      </left>
      <right/>
      <top style="hair">
        <color rgb="FF7F7F7F"/>
      </top>
      <bottom style="thin">
        <color rgb="FF002060"/>
      </bottom>
      <diagonal/>
    </border>
    <border>
      <left/>
      <right/>
      <top style="hair">
        <color rgb="FF7F7F7F"/>
      </top>
      <bottom style="thin">
        <color rgb="FF002060"/>
      </bottom>
      <diagonal/>
    </border>
    <border>
      <left/>
      <right style="thin">
        <color rgb="FF002060"/>
      </right>
      <top style="hair">
        <color rgb="FF7F7F7F"/>
      </top>
      <bottom style="thin">
        <color rgb="FF002060"/>
      </bottom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/>
      <top style="medium">
        <color rgb="FF002060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/>
      <top style="medium">
        <color rgb="FF70AD47"/>
      </top>
      <bottom/>
      <diagonal/>
    </border>
    <border>
      <left/>
      <right/>
      <top/>
      <bottom style="medium">
        <color rgb="FF70AD47"/>
      </bottom>
      <diagonal/>
    </border>
    <border>
      <left style="medium">
        <color rgb="FF70AD47"/>
      </left>
      <right/>
      <top style="medium">
        <color rgb="FF70AD47"/>
      </top>
      <bottom/>
      <diagonal/>
    </border>
    <border>
      <left style="medium">
        <color rgb="FF70AD47"/>
      </left>
      <right/>
      <top/>
      <bottom style="medium">
        <color rgb="FF70AD47"/>
      </bottom>
      <diagonal/>
    </border>
    <border>
      <left/>
      <right style="medium">
        <color rgb="FF70AD47"/>
      </right>
      <top style="medium">
        <color rgb="FF70AD47"/>
      </top>
      <bottom/>
      <diagonal/>
    </border>
    <border>
      <left/>
      <right style="medium">
        <color rgb="FF70AD47"/>
      </right>
      <top/>
      <bottom style="medium">
        <color rgb="FF70AD47"/>
      </bottom>
      <diagonal/>
    </border>
    <border>
      <left/>
      <right/>
      <top/>
      <bottom style="medium">
        <color rgb="FFC00000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/>
      <right/>
      <top style="medium">
        <color rgb="FFFFC000"/>
      </top>
      <bottom/>
      <diagonal/>
    </border>
    <border>
      <left/>
      <right/>
      <top/>
      <bottom style="medium">
        <color rgb="FFFFC000"/>
      </bottom>
      <diagonal/>
    </border>
    <border>
      <left style="medium">
        <color rgb="FFFFC000"/>
      </left>
      <right/>
      <top style="medium">
        <color rgb="FFFFC000"/>
      </top>
      <bottom/>
      <diagonal/>
    </border>
    <border>
      <left style="medium">
        <color rgb="FFFFC000"/>
      </left>
      <right/>
      <top/>
      <bottom style="medium">
        <color rgb="FFFFC000"/>
      </bottom>
      <diagonal/>
    </border>
    <border>
      <left/>
      <right style="medium">
        <color rgb="FFFFC000"/>
      </right>
      <top style="medium">
        <color rgb="FFFFC000"/>
      </top>
      <bottom/>
      <diagonal/>
    </border>
    <border>
      <left/>
      <right style="medium">
        <color rgb="FFFFC000"/>
      </right>
      <top/>
      <bottom style="medium">
        <color rgb="FFFFC000"/>
      </bottom>
      <diagonal/>
    </border>
    <border>
      <left style="medium">
        <color rgb="FFC00000"/>
      </left>
      <right/>
      <top/>
      <bottom/>
      <diagonal/>
    </border>
  </borders>
  <cellStyleXfs count="1">
    <xf numFmtId="0" fontId="0" fillId="0" borderId="0"/>
  </cellStyleXfs>
  <cellXfs count="177">
    <xf numFmtId="0" fontId="0" fillId="0" borderId="0" xfId="0"/>
    <xf numFmtId="164" fontId="4" fillId="2" borderId="0" xfId="0" applyNumberFormat="1" applyFont="1" applyFill="1"/>
    <xf numFmtId="164" fontId="4" fillId="3" borderId="0" xfId="0" applyNumberFormat="1" applyFont="1" applyFill="1"/>
    <xf numFmtId="0" fontId="1" fillId="4" borderId="0" xfId="0" applyFont="1" applyFill="1"/>
    <xf numFmtId="0" fontId="4" fillId="2" borderId="1" xfId="0" applyFont="1" applyFill="1" applyBorder="1" applyAlignment="1">
      <alignment horizontal="center"/>
    </xf>
    <xf numFmtId="0" fontId="1" fillId="4" borderId="2" xfId="0" applyFont="1" applyFill="1" applyBorder="1"/>
    <xf numFmtId="0" fontId="4" fillId="6" borderId="0" xfId="0" applyFont="1" applyFill="1"/>
    <xf numFmtId="40" fontId="5" fillId="7" borderId="0" xfId="0" applyNumberFormat="1" applyFont="1" applyFill="1" applyAlignment="1">
      <alignment horizontal="left" vertical="center"/>
    </xf>
    <xf numFmtId="40" fontId="0" fillId="0" borderId="0" xfId="0" applyNumberFormat="1"/>
    <xf numFmtId="40" fontId="2" fillId="0" borderId="0" xfId="0" applyNumberFormat="1" applyFont="1"/>
    <xf numFmtId="40" fontId="3" fillId="0" borderId="0" xfId="0" applyNumberFormat="1" applyFont="1"/>
    <xf numFmtId="40" fontId="4" fillId="6" borderId="1" xfId="0" applyNumberFormat="1" applyFont="1" applyFill="1" applyBorder="1" applyAlignment="1">
      <alignment horizontal="left" indent="1"/>
    </xf>
    <xf numFmtId="40" fontId="4" fillId="6" borderId="1" xfId="0" applyNumberFormat="1" applyFont="1" applyFill="1" applyBorder="1" applyAlignment="1">
      <alignment horizontal="center"/>
    </xf>
    <xf numFmtId="40" fontId="4" fillId="6" borderId="0" xfId="0" applyNumberFormat="1" applyFont="1" applyFill="1" applyAlignment="1">
      <alignment horizontal="left" indent="1"/>
    </xf>
    <xf numFmtId="40" fontId="4" fillId="6" borderId="0" xfId="0" applyNumberFormat="1" applyFont="1" applyFill="1"/>
    <xf numFmtId="40" fontId="4" fillId="5" borderId="0" xfId="0" applyNumberFormat="1" applyFont="1" applyFill="1" applyAlignment="1">
      <alignment horizontal="left" indent="1"/>
    </xf>
    <xf numFmtId="40" fontId="4" fillId="5" borderId="0" xfId="0" applyNumberFormat="1" applyFont="1" applyFill="1"/>
    <xf numFmtId="40" fontId="0" fillId="0" borderId="0" xfId="0" applyNumberFormat="1" applyAlignment="1">
      <alignment horizontal="left" indent="2"/>
    </xf>
    <xf numFmtId="40" fontId="2" fillId="0" borderId="0" xfId="0" applyNumberFormat="1" applyFont="1" applyAlignment="1">
      <alignment horizontal="left" indent="2"/>
    </xf>
    <xf numFmtId="40" fontId="0" fillId="0" borderId="0" xfId="0" applyNumberFormat="1" applyAlignment="1">
      <alignment horizontal="left" indent="3"/>
    </xf>
    <xf numFmtId="40" fontId="2" fillId="0" borderId="2" xfId="0" applyNumberFormat="1" applyFont="1" applyBorder="1" applyAlignment="1">
      <alignment horizontal="left" indent="3"/>
    </xf>
    <xf numFmtId="40" fontId="0" fillId="0" borderId="2" xfId="0" applyNumberFormat="1" applyBorder="1"/>
    <xf numFmtId="40" fontId="1" fillId="4" borderId="2" xfId="0" applyNumberFormat="1" applyFont="1" applyFill="1" applyBorder="1" applyAlignment="1">
      <alignment horizontal="left" indent="1"/>
    </xf>
    <xf numFmtId="40" fontId="1" fillId="4" borderId="2" xfId="0" applyNumberFormat="1" applyFont="1" applyFill="1" applyBorder="1"/>
    <xf numFmtId="40" fontId="1" fillId="4" borderId="4" xfId="0" applyNumberFormat="1" applyFont="1" applyFill="1" applyBorder="1" applyAlignment="1">
      <alignment horizontal="left" indent="1"/>
    </xf>
    <xf numFmtId="40" fontId="1" fillId="4" borderId="4" xfId="0" applyNumberFormat="1" applyFont="1" applyFill="1" applyBorder="1"/>
    <xf numFmtId="40" fontId="1" fillId="4" borderId="3" xfId="0" applyNumberFormat="1" applyFont="1" applyFill="1" applyBorder="1" applyAlignment="1">
      <alignment horizontal="left" indent="1"/>
    </xf>
    <xf numFmtId="40" fontId="1" fillId="4" borderId="3" xfId="0" applyNumberFormat="1" applyFont="1" applyFill="1" applyBorder="1"/>
    <xf numFmtId="165" fontId="9" fillId="0" borderId="0" xfId="0" applyNumberFormat="1" applyFont="1" applyAlignment="1">
      <alignment horizontal="right"/>
    </xf>
    <xf numFmtId="0" fontId="0" fillId="0" borderId="0" xfId="0" applyFont="1"/>
    <xf numFmtId="165" fontId="0" fillId="0" borderId="0" xfId="0" applyNumberFormat="1" applyFont="1"/>
    <xf numFmtId="169" fontId="0" fillId="0" borderId="0" xfId="0" applyNumberFormat="1" applyFont="1"/>
    <xf numFmtId="167" fontId="0" fillId="0" borderId="0" xfId="0" applyNumberFormat="1" applyFont="1"/>
    <xf numFmtId="0" fontId="11" fillId="0" borderId="0" xfId="0" applyFont="1"/>
    <xf numFmtId="0" fontId="12" fillId="0" borderId="0" xfId="0" applyFont="1"/>
    <xf numFmtId="165" fontId="9" fillId="0" borderId="0" xfId="0" applyNumberFormat="1" applyFont="1"/>
    <xf numFmtId="0" fontId="0" fillId="4" borderId="0" xfId="0" applyFont="1" applyFill="1"/>
    <xf numFmtId="0" fontId="0" fillId="0" borderId="0" xfId="0" applyFont="1" applyAlignment="1">
      <alignment horizontal="left" indent="1"/>
    </xf>
    <xf numFmtId="0" fontId="0" fillId="0" borderId="0" xfId="0" applyFont="1" applyAlignment="1">
      <alignment horizontal="right"/>
    </xf>
    <xf numFmtId="169" fontId="0" fillId="0" borderId="0" xfId="0" applyNumberFormat="1" applyFont="1" applyAlignment="1">
      <alignment horizontal="right"/>
    </xf>
    <xf numFmtId="165" fontId="14" fillId="4" borderId="0" xfId="0" applyNumberFormat="1" applyFont="1" applyFill="1" applyAlignment="1">
      <alignment horizontal="right"/>
    </xf>
    <xf numFmtId="165" fontId="0" fillId="0" borderId="0" xfId="0" applyNumberFormat="1" applyFont="1" applyAlignment="1">
      <alignment horizontal="right"/>
    </xf>
    <xf numFmtId="167" fontId="0" fillId="0" borderId="0" xfId="0" applyNumberFormat="1" applyFont="1" applyAlignment="1">
      <alignment horizontal="right"/>
    </xf>
    <xf numFmtId="0" fontId="0" fillId="4" borderId="2" xfId="0" applyFont="1" applyFill="1" applyBorder="1"/>
    <xf numFmtId="165" fontId="1" fillId="4" borderId="2" xfId="0" applyNumberFormat="1" applyFont="1" applyFill="1" applyBorder="1" applyAlignment="1">
      <alignment horizontal="right"/>
    </xf>
    <xf numFmtId="165" fontId="14" fillId="4" borderId="2" xfId="0" applyNumberFormat="1" applyFont="1" applyFill="1" applyBorder="1" applyAlignment="1">
      <alignment horizontal="right"/>
    </xf>
    <xf numFmtId="0" fontId="0" fillId="4" borderId="5" xfId="0" applyFont="1" applyFill="1" applyBorder="1"/>
    <xf numFmtId="0" fontId="1" fillId="4" borderId="5" xfId="0" applyFont="1" applyFill="1" applyBorder="1"/>
    <xf numFmtId="165" fontId="14" fillId="4" borderId="5" xfId="0" applyNumberFormat="1" applyFont="1" applyFill="1" applyBorder="1" applyAlignment="1">
      <alignment horizontal="right"/>
    </xf>
    <xf numFmtId="0" fontId="0" fillId="4" borderId="6" xfId="0" applyFont="1" applyFill="1" applyBorder="1"/>
    <xf numFmtId="0" fontId="1" fillId="4" borderId="6" xfId="0" applyFont="1" applyFill="1" applyBorder="1"/>
    <xf numFmtId="165" fontId="1" fillId="4" borderId="6" xfId="0" applyNumberFormat="1" applyFont="1" applyFill="1" applyBorder="1" applyAlignment="1">
      <alignment horizontal="right"/>
    </xf>
    <xf numFmtId="168" fontId="0" fillId="0" borderId="0" xfId="0" applyNumberFormat="1" applyFont="1"/>
    <xf numFmtId="0" fontId="15" fillId="0" borderId="0" xfId="0" applyFont="1"/>
    <xf numFmtId="0" fontId="0" fillId="0" borderId="0" xfId="0" applyFont="1" applyAlignment="1">
      <alignment vertical="top" wrapText="1"/>
    </xf>
    <xf numFmtId="168" fontId="1" fillId="4" borderId="2" xfId="0" applyNumberFormat="1" applyFont="1" applyFill="1" applyBorder="1"/>
    <xf numFmtId="165" fontId="1" fillId="4" borderId="2" xfId="0" applyNumberFormat="1" applyFont="1" applyFill="1" applyBorder="1"/>
    <xf numFmtId="165" fontId="14" fillId="4" borderId="2" xfId="0" applyNumberFormat="1" applyFont="1" applyFill="1" applyBorder="1"/>
    <xf numFmtId="0" fontId="8" fillId="8" borderId="7" xfId="0" applyFont="1" applyFill="1" applyBorder="1"/>
    <xf numFmtId="0" fontId="13" fillId="8" borderId="7" xfId="0" applyFont="1" applyFill="1" applyBorder="1"/>
    <xf numFmtId="0" fontId="8" fillId="8" borderId="8" xfId="0" applyFont="1" applyFill="1" applyBorder="1"/>
    <xf numFmtId="0" fontId="8" fillId="8" borderId="9" xfId="0" applyFont="1" applyFill="1" applyBorder="1"/>
    <xf numFmtId="0" fontId="0" fillId="8" borderId="10" xfId="0" applyFont="1" applyFill="1" applyBorder="1"/>
    <xf numFmtId="0" fontId="1" fillId="8" borderId="11" xfId="0" applyFont="1" applyFill="1" applyBorder="1"/>
    <xf numFmtId="0" fontId="12" fillId="8" borderId="11" xfId="0" applyFont="1" applyFill="1" applyBorder="1"/>
    <xf numFmtId="170" fontId="9" fillId="8" borderId="11" xfId="0" applyNumberFormat="1" applyFont="1" applyFill="1" applyBorder="1" applyAlignment="1">
      <alignment horizontal="right"/>
    </xf>
    <xf numFmtId="170" fontId="9" fillId="8" borderId="12" xfId="0" applyNumberFormat="1" applyFont="1" applyFill="1" applyBorder="1" applyAlignment="1">
      <alignment horizontal="right"/>
    </xf>
    <xf numFmtId="0" fontId="0" fillId="8" borderId="13" xfId="0" applyFont="1" applyFill="1" applyBorder="1"/>
    <xf numFmtId="0" fontId="1" fillId="8" borderId="14" xfId="0" applyFont="1" applyFill="1" applyBorder="1"/>
    <xf numFmtId="0" fontId="12" fillId="8" borderId="14" xfId="0" applyFont="1" applyFill="1" applyBorder="1"/>
    <xf numFmtId="170" fontId="9" fillId="8" borderId="14" xfId="0" applyNumberFormat="1" applyFont="1" applyFill="1" applyBorder="1" applyAlignment="1">
      <alignment horizontal="right"/>
    </xf>
    <xf numFmtId="170" fontId="9" fillId="8" borderId="15" xfId="0" applyNumberFormat="1" applyFont="1" applyFill="1" applyBorder="1" applyAlignment="1">
      <alignment horizontal="right"/>
    </xf>
    <xf numFmtId="170" fontId="0" fillId="8" borderId="14" xfId="0" applyNumberFormat="1" applyFont="1" applyFill="1" applyBorder="1" applyAlignment="1">
      <alignment horizontal="right"/>
    </xf>
    <xf numFmtId="170" fontId="0" fillId="8" borderId="15" xfId="0" applyNumberFormat="1" applyFont="1" applyFill="1" applyBorder="1" applyAlignment="1">
      <alignment horizontal="right"/>
    </xf>
    <xf numFmtId="0" fontId="0" fillId="8" borderId="16" xfId="0" applyFont="1" applyFill="1" applyBorder="1"/>
    <xf numFmtId="0" fontId="1" fillId="8" borderId="17" xfId="0" applyFont="1" applyFill="1" applyBorder="1"/>
    <xf numFmtId="0" fontId="12" fillId="8" borderId="17" xfId="0" applyFont="1" applyFill="1" applyBorder="1"/>
    <xf numFmtId="170" fontId="0" fillId="8" borderId="17" xfId="0" applyNumberFormat="1" applyFont="1" applyFill="1" applyBorder="1" applyAlignment="1">
      <alignment horizontal="right"/>
    </xf>
    <xf numFmtId="170" fontId="0" fillId="8" borderId="18" xfId="0" applyNumberFormat="1" applyFont="1" applyFill="1" applyBorder="1" applyAlignment="1">
      <alignment horizontal="right"/>
    </xf>
    <xf numFmtId="0" fontId="15" fillId="0" borderId="0" xfId="0" applyFont="1" applyAlignment="1">
      <alignment vertical="top" wrapText="1"/>
    </xf>
    <xf numFmtId="0" fontId="10" fillId="9" borderId="0" xfId="0" applyFont="1" applyFill="1" applyAlignment="1">
      <alignment horizontal="left" vertical="center"/>
    </xf>
    <xf numFmtId="0" fontId="4" fillId="6" borderId="0" xfId="0" applyFont="1" applyFill="1" applyAlignment="1">
      <alignment vertical="center"/>
    </xf>
    <xf numFmtId="0" fontId="4" fillId="6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right"/>
    </xf>
    <xf numFmtId="0" fontId="11" fillId="4" borderId="0" xfId="0" applyFont="1" applyFill="1"/>
    <xf numFmtId="0" fontId="11" fillId="4" borderId="2" xfId="0" applyFont="1" applyFill="1" applyBorder="1"/>
    <xf numFmtId="0" fontId="11" fillId="4" borderId="5" xfId="0" applyFont="1" applyFill="1" applyBorder="1"/>
    <xf numFmtId="0" fontId="17" fillId="6" borderId="0" xfId="0" applyFont="1" applyFill="1"/>
    <xf numFmtId="0" fontId="11" fillId="4" borderId="6" xfId="0" applyFont="1" applyFill="1" applyBorder="1"/>
    <xf numFmtId="0" fontId="4" fillId="6" borderId="0" xfId="0" applyFont="1" applyFill="1" applyAlignment="1">
      <alignment vertical="top" wrapText="1"/>
    </xf>
    <xf numFmtId="0" fontId="18" fillId="6" borderId="0" xfId="0" applyFont="1" applyFill="1"/>
    <xf numFmtId="0" fontId="4" fillId="6" borderId="8" xfId="0" applyFont="1" applyFill="1" applyBorder="1"/>
    <xf numFmtId="0" fontId="4" fillId="6" borderId="7" xfId="0" applyFont="1" applyFill="1" applyBorder="1"/>
    <xf numFmtId="0" fontId="18" fillId="6" borderId="7" xfId="0" applyFont="1" applyFill="1" applyBorder="1"/>
    <xf numFmtId="0" fontId="4" fillId="6" borderId="9" xfId="0" applyFont="1" applyFill="1" applyBorder="1"/>
    <xf numFmtId="0" fontId="11" fillId="8" borderId="11" xfId="0" applyFont="1" applyFill="1" applyBorder="1"/>
    <xf numFmtId="0" fontId="11" fillId="8" borderId="14" xfId="0" applyFont="1" applyFill="1" applyBorder="1"/>
    <xf numFmtId="0" fontId="11" fillId="8" borderId="17" xfId="0" applyFont="1" applyFill="1" applyBorder="1"/>
    <xf numFmtId="0" fontId="11" fillId="0" borderId="0" xfId="0" applyFont="1" applyAlignment="1">
      <alignment horizontal="left"/>
    </xf>
    <xf numFmtId="0" fontId="4" fillId="9" borderId="0" xfId="0" applyFont="1" applyFill="1"/>
    <xf numFmtId="1" fontId="21" fillId="0" borderId="0" xfId="0" applyNumberFormat="1" applyFont="1"/>
    <xf numFmtId="0" fontId="21" fillId="0" borderId="0" xfId="0" applyFont="1"/>
    <xf numFmtId="0" fontId="0" fillId="0" borderId="21" xfId="0" applyFont="1" applyBorder="1"/>
    <xf numFmtId="165" fontId="21" fillId="0" borderId="0" xfId="0" applyNumberFormat="1" applyFont="1"/>
    <xf numFmtId="169" fontId="21" fillId="0" borderId="0" xfId="0" applyNumberFormat="1" applyFont="1"/>
    <xf numFmtId="2" fontId="21" fillId="0" borderId="0" xfId="0" applyNumberFormat="1" applyFont="1"/>
    <xf numFmtId="168" fontId="21" fillId="0" borderId="0" xfId="0" applyNumberFormat="1" applyFont="1"/>
    <xf numFmtId="0" fontId="17" fillId="0" borderId="0" xfId="0" applyFont="1"/>
    <xf numFmtId="0" fontId="20" fillId="9" borderId="0" xfId="0" applyFont="1" applyFill="1" applyAlignment="1">
      <alignment horizontal="left" vertical="center"/>
    </xf>
    <xf numFmtId="0" fontId="16" fillId="9" borderId="0" xfId="0" applyFont="1" applyFill="1" applyAlignment="1">
      <alignment horizontal="left" vertical="center"/>
    </xf>
    <xf numFmtId="0" fontId="22" fillId="9" borderId="0" xfId="0" applyFont="1" applyFill="1" applyAlignment="1">
      <alignment horizontal="left"/>
    </xf>
    <xf numFmtId="0" fontId="4" fillId="6" borderId="0" xfId="0" applyFont="1" applyFill="1" applyAlignment="1">
      <alignment horizontal="left" vertical="center"/>
    </xf>
    <xf numFmtId="0" fontId="4" fillId="12" borderId="32" xfId="0" applyFont="1" applyFill="1" applyBorder="1" applyAlignment="1">
      <alignment horizontal="left" vertical="center" indent="1"/>
    </xf>
    <xf numFmtId="0" fontId="4" fillId="12" borderId="30" xfId="0" applyFont="1" applyFill="1" applyBorder="1" applyAlignment="1">
      <alignment horizontal="left" vertical="center" indent="1"/>
    </xf>
    <xf numFmtId="0" fontId="4" fillId="12" borderId="34" xfId="0" applyFont="1" applyFill="1" applyBorder="1" applyAlignment="1">
      <alignment horizontal="left" vertical="center" indent="1"/>
    </xf>
    <xf numFmtId="0" fontId="4" fillId="14" borderId="37" xfId="0" applyFont="1" applyFill="1" applyBorder="1" applyAlignment="1">
      <alignment horizontal="left" vertical="center" indent="1"/>
    </xf>
    <xf numFmtId="0" fontId="4" fillId="14" borderId="19" xfId="0" applyFont="1" applyFill="1" applyBorder="1" applyAlignment="1">
      <alignment horizontal="left" vertical="center" indent="1"/>
    </xf>
    <xf numFmtId="0" fontId="4" fillId="14" borderId="39" xfId="0" applyFont="1" applyFill="1" applyBorder="1" applyAlignment="1">
      <alignment horizontal="left" vertical="center" indent="1"/>
    </xf>
    <xf numFmtId="0" fontId="0" fillId="13" borderId="33" xfId="0" applyFont="1" applyFill="1" applyBorder="1" applyAlignment="1">
      <alignment horizontal="left" vertical="top" wrapText="1" indent="1"/>
    </xf>
    <xf numFmtId="0" fontId="0" fillId="13" borderId="31" xfId="0" applyFont="1" applyFill="1" applyBorder="1" applyAlignment="1">
      <alignment horizontal="left" vertical="top" wrapText="1" indent="1"/>
    </xf>
    <xf numFmtId="0" fontId="0" fillId="13" borderId="35" xfId="0" applyFont="1" applyFill="1" applyBorder="1" applyAlignment="1">
      <alignment horizontal="left" vertical="top" wrapText="1" indent="1"/>
    </xf>
    <xf numFmtId="0" fontId="0" fillId="15" borderId="38" xfId="0" applyFont="1" applyFill="1" applyBorder="1" applyAlignment="1">
      <alignment horizontal="left" vertical="top" wrapText="1" indent="1"/>
    </xf>
    <xf numFmtId="0" fontId="0" fillId="15" borderId="36" xfId="0" applyFont="1" applyFill="1" applyBorder="1" applyAlignment="1">
      <alignment horizontal="left" vertical="top" wrapText="1" indent="1"/>
    </xf>
    <xf numFmtId="0" fontId="0" fillId="15" borderId="40" xfId="0" applyFont="1" applyFill="1" applyBorder="1" applyAlignment="1">
      <alignment horizontal="left" vertical="top" wrapText="1" indent="1"/>
    </xf>
    <xf numFmtId="0" fontId="4" fillId="16" borderId="43" xfId="0" applyFont="1" applyFill="1" applyBorder="1" applyAlignment="1">
      <alignment horizontal="left" vertical="center" indent="1"/>
    </xf>
    <xf numFmtId="0" fontId="4" fillId="16" borderId="41" xfId="0" applyFont="1" applyFill="1" applyBorder="1" applyAlignment="1">
      <alignment horizontal="left" vertical="center" indent="1"/>
    </xf>
    <xf numFmtId="0" fontId="4" fillId="16" borderId="45" xfId="0" applyFont="1" applyFill="1" applyBorder="1" applyAlignment="1">
      <alignment horizontal="left" vertical="center" indent="1"/>
    </xf>
    <xf numFmtId="0" fontId="0" fillId="10" borderId="44" xfId="0" applyFont="1" applyFill="1" applyBorder="1" applyAlignment="1">
      <alignment horizontal="left" vertical="top" wrapText="1" indent="1"/>
    </xf>
    <xf numFmtId="0" fontId="0" fillId="10" borderId="42" xfId="0" applyFont="1" applyFill="1" applyBorder="1" applyAlignment="1">
      <alignment horizontal="left" vertical="top" wrapText="1" indent="1"/>
    </xf>
    <xf numFmtId="0" fontId="0" fillId="10" borderId="46" xfId="0" applyFont="1" applyFill="1" applyBorder="1" applyAlignment="1">
      <alignment horizontal="left" vertical="top" wrapText="1" indent="1"/>
    </xf>
    <xf numFmtId="0" fontId="4" fillId="6" borderId="24" xfId="0" applyFont="1" applyFill="1" applyBorder="1" applyAlignment="1">
      <alignment horizontal="left" vertical="center" indent="1"/>
    </xf>
    <xf numFmtId="0" fontId="4" fillId="6" borderId="22" xfId="0" applyFont="1" applyFill="1" applyBorder="1" applyAlignment="1">
      <alignment horizontal="left" vertical="center" indent="1"/>
    </xf>
    <xf numFmtId="0" fontId="4" fillId="6" borderId="27" xfId="0" applyFont="1" applyFill="1" applyBorder="1" applyAlignment="1">
      <alignment horizontal="left" vertical="center" indent="1"/>
    </xf>
    <xf numFmtId="0" fontId="0" fillId="8" borderId="26" xfId="0" applyFont="1" applyFill="1" applyBorder="1" applyAlignment="1">
      <alignment horizontal="left" vertical="top" wrapText="1" indent="1"/>
    </xf>
    <xf numFmtId="0" fontId="0" fillId="8" borderId="23" xfId="0" applyFont="1" applyFill="1" applyBorder="1" applyAlignment="1">
      <alignment horizontal="left" vertical="top" wrapText="1" indent="1"/>
    </xf>
    <xf numFmtId="0" fontId="0" fillId="8" borderId="29" xfId="0" applyFont="1" applyFill="1" applyBorder="1" applyAlignment="1">
      <alignment horizontal="left" vertical="top" wrapText="1" indent="1"/>
    </xf>
    <xf numFmtId="0" fontId="11" fillId="0" borderId="0" xfId="0" applyFont="1" applyAlignment="1">
      <alignment vertical="top" wrapText="1"/>
    </xf>
    <xf numFmtId="0" fontId="11" fillId="8" borderId="25" xfId="0" applyFont="1" applyFill="1" applyBorder="1" applyAlignment="1">
      <alignment horizontal="center" vertical="center"/>
    </xf>
    <xf numFmtId="0" fontId="11" fillId="8" borderId="0" xfId="0" applyFont="1" applyFill="1" applyBorder="1" applyAlignment="1">
      <alignment horizontal="center" vertical="center"/>
    </xf>
    <xf numFmtId="0" fontId="11" fillId="8" borderId="28" xfId="0" applyFont="1" applyFill="1" applyBorder="1" applyAlignment="1">
      <alignment horizontal="center" vertical="center"/>
    </xf>
    <xf numFmtId="173" fontId="0" fillId="8" borderId="26" xfId="0" applyNumberFormat="1" applyFont="1" applyFill="1" applyBorder="1" applyAlignment="1">
      <alignment horizontal="center" vertical="center"/>
    </xf>
    <xf numFmtId="173" fontId="0" fillId="8" borderId="23" xfId="0" applyNumberFormat="1" applyFont="1" applyFill="1" applyBorder="1" applyAlignment="1">
      <alignment horizontal="center" vertical="center"/>
    </xf>
    <xf numFmtId="173" fontId="0" fillId="8" borderId="29" xfId="0" applyNumberFormat="1" applyFont="1" applyFill="1" applyBorder="1" applyAlignment="1">
      <alignment horizontal="center" vertical="center"/>
    </xf>
    <xf numFmtId="174" fontId="0" fillId="8" borderId="26" xfId="0" applyNumberFormat="1" applyFont="1" applyFill="1" applyBorder="1" applyAlignment="1">
      <alignment horizontal="center" vertical="center"/>
    </xf>
    <xf numFmtId="174" fontId="0" fillId="8" borderId="23" xfId="0" applyNumberFormat="1" applyFont="1" applyFill="1" applyBorder="1" applyAlignment="1">
      <alignment horizontal="center" vertical="center"/>
    </xf>
    <xf numFmtId="174" fontId="0" fillId="8" borderId="29" xfId="0" applyNumberFormat="1" applyFont="1" applyFill="1" applyBorder="1" applyAlignment="1">
      <alignment horizontal="center" vertical="center"/>
    </xf>
    <xf numFmtId="175" fontId="0" fillId="8" borderId="26" xfId="0" applyNumberFormat="1" applyFont="1" applyFill="1" applyBorder="1" applyAlignment="1">
      <alignment horizontal="center" vertical="center"/>
    </xf>
    <xf numFmtId="175" fontId="0" fillId="8" borderId="23" xfId="0" applyNumberFormat="1" applyFont="1" applyFill="1" applyBorder="1" applyAlignment="1">
      <alignment horizontal="center" vertical="center"/>
    </xf>
    <xf numFmtId="175" fontId="0" fillId="8" borderId="29" xfId="0" applyNumberFormat="1" applyFont="1" applyFill="1" applyBorder="1" applyAlignment="1">
      <alignment horizontal="center" vertical="center"/>
    </xf>
    <xf numFmtId="176" fontId="0" fillId="8" borderId="26" xfId="0" applyNumberFormat="1" applyFont="1" applyFill="1" applyBorder="1" applyAlignment="1">
      <alignment horizontal="center" vertical="center"/>
    </xf>
    <xf numFmtId="176" fontId="0" fillId="8" borderId="23" xfId="0" applyNumberFormat="1" applyFont="1" applyFill="1" applyBorder="1" applyAlignment="1">
      <alignment horizontal="center" vertical="center"/>
    </xf>
    <xf numFmtId="176" fontId="0" fillId="8" borderId="29" xfId="0" applyNumberFormat="1" applyFont="1" applyFill="1" applyBorder="1" applyAlignment="1">
      <alignment horizontal="center" vertical="center"/>
    </xf>
    <xf numFmtId="172" fontId="0" fillId="8" borderId="26" xfId="0" applyNumberFormat="1" applyFont="1" applyFill="1" applyBorder="1" applyAlignment="1">
      <alignment horizontal="center" vertical="center"/>
    </xf>
    <xf numFmtId="172" fontId="0" fillId="8" borderId="23" xfId="0" applyNumberFormat="1" applyFont="1" applyFill="1" applyBorder="1" applyAlignment="1">
      <alignment horizontal="center" vertical="center"/>
    </xf>
    <xf numFmtId="172" fontId="0" fillId="8" borderId="29" xfId="0" applyNumberFormat="1" applyFont="1" applyFill="1" applyBorder="1" applyAlignment="1">
      <alignment horizontal="center" vertical="center"/>
    </xf>
    <xf numFmtId="0" fontId="11" fillId="0" borderId="47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6" fillId="11" borderId="20" xfId="0" applyFont="1" applyFill="1" applyBorder="1" applyAlignment="1">
      <alignment horizontal="center" vertical="center"/>
    </xf>
    <xf numFmtId="0" fontId="10" fillId="6" borderId="24" xfId="0" applyFont="1" applyFill="1" applyBorder="1" applyAlignment="1">
      <alignment horizontal="center" vertical="center"/>
    </xf>
    <xf numFmtId="0" fontId="10" fillId="6" borderId="22" xfId="0" applyFont="1" applyFill="1" applyBorder="1" applyAlignment="1">
      <alignment horizontal="center" vertical="center"/>
    </xf>
    <xf numFmtId="0" fontId="10" fillId="6" borderId="27" xfId="0" applyFont="1" applyFill="1" applyBorder="1" applyAlignment="1">
      <alignment horizontal="center" vertical="center"/>
    </xf>
    <xf numFmtId="0" fontId="19" fillId="6" borderId="24" xfId="0" applyFont="1" applyFill="1" applyBorder="1" applyAlignment="1">
      <alignment horizontal="center" vertical="center"/>
    </xf>
    <xf numFmtId="0" fontId="19" fillId="6" borderId="22" xfId="0" applyFont="1" applyFill="1" applyBorder="1" applyAlignment="1">
      <alignment horizontal="center" vertical="center"/>
    </xf>
    <xf numFmtId="0" fontId="19" fillId="6" borderId="27" xfId="0" applyFont="1" applyFill="1" applyBorder="1" applyAlignment="1">
      <alignment horizontal="center" vertical="center"/>
    </xf>
    <xf numFmtId="0" fontId="23" fillId="0" borderId="0" xfId="0" applyFont="1"/>
    <xf numFmtId="165" fontId="24" fillId="8" borderId="25" xfId="0" applyNumberFormat="1" applyFont="1" applyFill="1" applyBorder="1" applyAlignment="1">
      <alignment horizontal="center" vertical="center"/>
    </xf>
    <xf numFmtId="165" fontId="24" fillId="8" borderId="0" xfId="0" applyNumberFormat="1" applyFont="1" applyFill="1" applyBorder="1" applyAlignment="1">
      <alignment horizontal="center" vertical="center"/>
    </xf>
    <xf numFmtId="165" fontId="24" fillId="8" borderId="28" xfId="0" applyNumberFormat="1" applyFont="1" applyFill="1" applyBorder="1" applyAlignment="1">
      <alignment horizontal="center" vertical="center"/>
    </xf>
    <xf numFmtId="171" fontId="24" fillId="8" borderId="25" xfId="0" applyNumberFormat="1" applyFont="1" applyFill="1" applyBorder="1" applyAlignment="1">
      <alignment horizontal="center" vertical="center"/>
    </xf>
    <xf numFmtId="171" fontId="24" fillId="8" borderId="0" xfId="0" applyNumberFormat="1" applyFont="1" applyFill="1" applyBorder="1" applyAlignment="1">
      <alignment horizontal="center" vertical="center"/>
    </xf>
    <xf numFmtId="171" fontId="24" fillId="8" borderId="28" xfId="0" applyNumberFormat="1" applyFont="1" applyFill="1" applyBorder="1" applyAlignment="1">
      <alignment horizontal="center" vertical="center"/>
    </xf>
    <xf numFmtId="169" fontId="24" fillId="8" borderId="25" xfId="0" applyNumberFormat="1" applyFont="1" applyFill="1" applyBorder="1" applyAlignment="1">
      <alignment horizontal="center" vertical="center"/>
    </xf>
    <xf numFmtId="169" fontId="24" fillId="8" borderId="0" xfId="0" applyNumberFormat="1" applyFont="1" applyFill="1" applyBorder="1" applyAlignment="1">
      <alignment horizontal="center" vertical="center"/>
    </xf>
    <xf numFmtId="169" fontId="24" fillId="8" borderId="28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left" vertical="center"/>
    </xf>
    <xf numFmtId="0" fontId="7" fillId="6" borderId="3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2249D24A-9CEC-45E3-99EB-3E3958C43A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IN" sz="1400" b="1" u="sng">
                <a:latin typeface="Aptos" panose="020B0004020202020204" pitchFamily="34" charset="0"/>
              </a:rPr>
              <a:t>Revenue &amp; EBITDA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Dashboard!$Z$12:$AC$12</c:f>
              <c:numCache>
                <c:formatCode>#,##0.0;[Red]\(#,##0.0\);\–</c:formatCode>
                <c:ptCount val="4"/>
                <c:pt idx="0">
                  <c:v>17308.689999999999</c:v>
                </c:pt>
                <c:pt idx="1">
                  <c:v>21211.09</c:v>
                </c:pt>
                <c:pt idx="2">
                  <c:v>23364.94</c:v>
                </c:pt>
                <c:pt idx="3">
                  <c:v>23892.78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40-4D69-8192-5AA483DE5FE0}"/>
            </c:ext>
          </c:extLst>
        </c:ser>
        <c:ser>
          <c:idx val="1"/>
          <c:order val="1"/>
          <c:tx>
            <c:v>EBITDA</c:v>
          </c:tx>
          <c:spPr>
            <a:solidFill>
              <a:srgbClr val="70AD47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Dashboard!$Z$13:$AC$13</c:f>
              <c:numCache>
                <c:formatCode>#,##0.0;[Red]\(#,##0.0\);\–</c:formatCode>
                <c:ptCount val="4"/>
                <c:pt idx="0">
                  <c:v>-2748.73</c:v>
                </c:pt>
                <c:pt idx="1">
                  <c:v>1140.54</c:v>
                </c:pt>
                <c:pt idx="2">
                  <c:v>1261.2099999999998</c:v>
                </c:pt>
                <c:pt idx="3">
                  <c:v>1222.8499999999999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40-4D69-8192-5AA483DE5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2222528"/>
        <c:axId val="662223008"/>
      </c:barChart>
      <c:lineChart>
        <c:grouping val="standard"/>
        <c:varyColors val="0"/>
        <c:ser>
          <c:idx val="2"/>
          <c:order val="2"/>
          <c:tx>
            <c:v>EBITDA margin</c:v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  <a:effectLst/>
            </c:spPr>
          </c:marker>
          <c:val>
            <c:numRef>
              <c:f>Dashboard!$Z$15:$AC$15</c:f>
              <c:numCache>
                <c:formatCode>0.0%;[Red]\(0.0%\);\–</c:formatCode>
                <c:ptCount val="4"/>
                <c:pt idx="0">
                  <c:v>-0.15880635680689875</c:v>
                </c:pt>
                <c:pt idx="1">
                  <c:v>5.3770928320986802E-2</c:v>
                </c:pt>
                <c:pt idx="2">
                  <c:v>5.3978739085142093E-2</c:v>
                </c:pt>
                <c:pt idx="3">
                  <c:v>5.1180733259168665E-2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640-4D69-8192-5AA483DE5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2173568"/>
        <c:axId val="662163968"/>
      </c:lineChart>
      <c:catAx>
        <c:axId val="66222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662223008"/>
        <c:crosses val="autoZero"/>
        <c:auto val="1"/>
        <c:lblAlgn val="ctr"/>
        <c:lblOffset val="100"/>
        <c:noMultiLvlLbl val="0"/>
      </c:catAx>
      <c:valAx>
        <c:axId val="66222300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IN" sz="1200">
                    <a:latin typeface="Aptos" panose="020B0004020202020204" pitchFamily="34" charset="0"/>
                  </a:rPr>
                  <a:t>₹ Crore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662222528"/>
        <c:crosses val="autoZero"/>
        <c:crossBetween val="between"/>
      </c:valAx>
      <c:valAx>
        <c:axId val="66216396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IN" sz="1200">
                    <a:latin typeface="Aptos" panose="020B0004020202020204" pitchFamily="34" charset="0"/>
                  </a:rPr>
                  <a:t>EBITDA margin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662173568"/>
        <c:crosses val="max"/>
        <c:crossBetween val="between"/>
      </c:valAx>
      <c:catAx>
        <c:axId val="662173568"/>
        <c:scaling>
          <c:orientation val="minMax"/>
        </c:scaling>
        <c:delete val="1"/>
        <c:axPos val="b"/>
        <c:majorTickMark val="out"/>
        <c:minorTickMark val="none"/>
        <c:tickLblPos val="nextTo"/>
        <c:crossAx val="66216396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IN" b="1" u="sng">
                <a:latin typeface="Aptos" panose="020B0004020202020204" pitchFamily="34" charset="0"/>
              </a:rPr>
              <a:t>Cash Flow Bridge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Operating CF</c:v>
          </c:tx>
          <c:spPr>
            <a:solidFill>
              <a:srgbClr val="70AD47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Dashboard!$Z$18:$AC$18</c:f>
              <c:numCache>
                <c:formatCode>#,##0.0;[Red]\(#,##0.0\);\–</c:formatCode>
                <c:ptCount val="4"/>
                <c:pt idx="0">
                  <c:v>559.95000000000005</c:v>
                </c:pt>
                <c:pt idx="1">
                  <c:v>660.25</c:v>
                </c:pt>
                <c:pt idx="2">
                  <c:v>-741.52</c:v>
                </c:pt>
                <c:pt idx="3">
                  <c:v>-3712.9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5-4D01-9982-0E75D4265526}"/>
            </c:ext>
          </c:extLst>
        </c:ser>
        <c:ser>
          <c:idx val="1"/>
          <c:order val="1"/>
          <c:tx>
            <c:v>Investing CF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Dashboard!$Z$19:$AC$19</c:f>
              <c:numCache>
                <c:formatCode>#,##0.0;[Red]\(#,##0.0\);\–</c:formatCode>
                <c:ptCount val="4"/>
                <c:pt idx="0">
                  <c:v>-42.5</c:v>
                </c:pt>
                <c:pt idx="1">
                  <c:v>-1125.32</c:v>
                </c:pt>
                <c:pt idx="2">
                  <c:v>1480.46</c:v>
                </c:pt>
                <c:pt idx="3">
                  <c:v>1330.86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5-4D01-9982-0E75D4265526}"/>
            </c:ext>
          </c:extLst>
        </c:ser>
        <c:ser>
          <c:idx val="2"/>
          <c:order val="2"/>
          <c:tx>
            <c:v>Financing CF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Dashboard!$Z$20:$AC$20</c:f>
              <c:numCache>
                <c:formatCode>#,##0.0;[Red]\(#,##0.0\);\–</c:formatCode>
                <c:ptCount val="4"/>
                <c:pt idx="0">
                  <c:v>-394.15</c:v>
                </c:pt>
                <c:pt idx="1">
                  <c:v>-329.49</c:v>
                </c:pt>
                <c:pt idx="2">
                  <c:v>88.96</c:v>
                </c:pt>
                <c:pt idx="3">
                  <c:v>2655.74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5-4D01-9982-0E75D4265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2185088"/>
        <c:axId val="662192768"/>
      </c:barChart>
      <c:lineChart>
        <c:grouping val="standard"/>
        <c:varyColors val="0"/>
        <c:ser>
          <c:idx val="3"/>
          <c:order val="3"/>
          <c:tx>
            <c:v>Free Cash Flow</c:v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  <a:effectLst/>
            </c:spPr>
          </c:marker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Dashboard!$Z$21:$AC$21</c:f>
              <c:numCache>
                <c:formatCode>#,##0.0;[Red]\(#,##0.0\);\–</c:formatCode>
                <c:ptCount val="4"/>
                <c:pt idx="0">
                  <c:v>309.60000000000002</c:v>
                </c:pt>
                <c:pt idx="1">
                  <c:v>490.87</c:v>
                </c:pt>
                <c:pt idx="2">
                  <c:v>-929.92</c:v>
                </c:pt>
                <c:pt idx="3">
                  <c:v>-3945.4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35-4D01-9982-0E75D4265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2185088"/>
        <c:axId val="662192768"/>
      </c:lineChart>
      <c:catAx>
        <c:axId val="662185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662192768"/>
        <c:crosses val="autoZero"/>
        <c:auto val="1"/>
        <c:lblAlgn val="ctr"/>
        <c:lblOffset val="100"/>
        <c:noMultiLvlLbl val="0"/>
      </c:catAx>
      <c:valAx>
        <c:axId val="66219276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IN" sz="1200">
                    <a:latin typeface="Aptos" panose="020B0004020202020204" pitchFamily="34" charset="0"/>
                  </a:rPr>
                  <a:t>₹ Crore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662185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IN" b="1" u="sng">
                <a:latin typeface="Aptos" panose="020B0004020202020204" pitchFamily="34" charset="0"/>
              </a:rPr>
              <a:t>Net Cash / (Debt)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Total cash</c:v>
          </c:tx>
          <c:spPr>
            <a:solidFill>
              <a:srgbClr val="70AD47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Dashboard!$Z$22:$AC$22</c:f>
              <c:numCache>
                <c:formatCode>#,##0.0;[Red]\(#,##0.0\);\–</c:formatCode>
                <c:ptCount val="4"/>
                <c:pt idx="0">
                  <c:v>6701.4500000000007</c:v>
                </c:pt>
                <c:pt idx="1">
                  <c:v>7153.69</c:v>
                </c:pt>
                <c:pt idx="2">
                  <c:v>6642.58</c:v>
                </c:pt>
                <c:pt idx="3">
                  <c:v>6157.47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5B-4B98-94C3-57B8ABE0D1A1}"/>
            </c:ext>
          </c:extLst>
        </c:ser>
        <c:ser>
          <c:idx val="1"/>
          <c:order val="1"/>
          <c:tx>
            <c:v>Total debt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Dashboard!$Z$23:$AC$23</c:f>
              <c:numCache>
                <c:formatCode>#,##0.0;[Red]\(#,##0.0\);\–</c:formatCode>
                <c:ptCount val="4"/>
                <c:pt idx="0">
                  <c:v>4950.8899999999994</c:v>
                </c:pt>
                <c:pt idx="1">
                  <c:v>4829.93</c:v>
                </c:pt>
                <c:pt idx="2">
                  <c:v>5453.51</c:v>
                </c:pt>
                <c:pt idx="3">
                  <c:v>8856.4599999999991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5B-4B98-94C3-57B8ABE0D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747936"/>
        <c:axId val="1389746496"/>
      </c:barChart>
      <c:lineChart>
        <c:grouping val="standard"/>
        <c:varyColors val="0"/>
        <c:ser>
          <c:idx val="2"/>
          <c:order val="2"/>
          <c:tx>
            <c:v>Net cash/(debt)</c:v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rgbClr val="002060"/>
                </a:solidFill>
                <a:prstDash val="solid"/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Dashboard!$Z$24:$AC$24</c:f>
              <c:numCache>
                <c:formatCode>#,##0.0;[Red]\(#,##0.0\);\–</c:formatCode>
                <c:ptCount val="4"/>
                <c:pt idx="0">
                  <c:v>1750.5600000000013</c:v>
                </c:pt>
                <c:pt idx="1">
                  <c:v>2323.7599999999993</c:v>
                </c:pt>
                <c:pt idx="2">
                  <c:v>1189.0699999999997</c:v>
                </c:pt>
                <c:pt idx="3">
                  <c:v>-2698.9899999999989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5B-4B98-94C3-57B8ABE0D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9747936"/>
        <c:axId val="1389746496"/>
      </c:lineChart>
      <c:catAx>
        <c:axId val="1389747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89746496"/>
        <c:crosses val="autoZero"/>
        <c:auto val="1"/>
        <c:lblAlgn val="ctr"/>
        <c:lblOffset val="100"/>
        <c:noMultiLvlLbl val="0"/>
      </c:catAx>
      <c:valAx>
        <c:axId val="13897464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IN" sz="1200">
                    <a:latin typeface="Aptos" panose="020B0004020202020204" pitchFamily="34" charset="0"/>
                  </a:rPr>
                  <a:t>₹ Crore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89747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IN" b="1" u="sng"/>
              <a:t>Working Capital Cycle (Days)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DSO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Dashboard!$Z$31:$AC$31</c:f>
              <c:numCache>
                <c:formatCode>0.0</c:formatCode>
                <c:ptCount val="4"/>
                <c:pt idx="0">
                  <c:v>85.090237909396961</c:v>
                </c:pt>
                <c:pt idx="1">
                  <c:v>52.049835722728055</c:v>
                </c:pt>
                <c:pt idx="2">
                  <c:v>48.870134055555035</c:v>
                </c:pt>
                <c:pt idx="3">
                  <c:v>73.104247391889942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B5-4CD3-A675-722EC0A8500A}"/>
            </c:ext>
          </c:extLst>
        </c:ser>
        <c:ser>
          <c:idx val="1"/>
          <c:order val="1"/>
          <c:tx>
            <c:v>DIO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Dashboard!$Z$32:$AC$32</c:f>
              <c:numCache>
                <c:formatCode>0.0</c:formatCode>
                <c:ptCount val="4"/>
                <c:pt idx="0">
                  <c:v>151.71421118524859</c:v>
                </c:pt>
                <c:pt idx="1">
                  <c:v>112.88795861033073</c:v>
                </c:pt>
                <c:pt idx="2">
                  <c:v>105.53861897355611</c:v>
                </c:pt>
                <c:pt idx="3">
                  <c:v>110.30562579992784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B5-4CD3-A675-722EC0A8500A}"/>
            </c:ext>
          </c:extLst>
        </c:ser>
        <c:ser>
          <c:idx val="2"/>
          <c:order val="2"/>
          <c:tx>
            <c:v>DPO</c:v>
          </c:tx>
          <c:spPr>
            <a:solidFill>
              <a:srgbClr val="A6A6A6"/>
            </a:solidFill>
            <a:ln>
              <a:noFill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Dashboard!$Z$33:$AC$33</c:f>
              <c:numCache>
                <c:formatCode>0.0</c:formatCode>
                <c:ptCount val="4"/>
                <c:pt idx="0">
                  <c:v>140.88316042404134</c:v>
                </c:pt>
                <c:pt idx="1">
                  <c:v>133.35478516191296</c:v>
                </c:pt>
                <c:pt idx="2">
                  <c:v>154.58965227387702</c:v>
                </c:pt>
                <c:pt idx="3">
                  <c:v>132.84881876449705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B5-4CD3-A675-722EC0A85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9754176"/>
        <c:axId val="1389761856"/>
      </c:barChart>
      <c:lineChart>
        <c:grouping val="standard"/>
        <c:varyColors val="0"/>
        <c:ser>
          <c:idx val="3"/>
          <c:order val="3"/>
          <c:tx>
            <c:v>Cash Conversion Cycle</c:v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  <a:effectLst/>
            </c:spPr>
          </c:marker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Dashboard!$Z$34:$AC$34</c:f>
              <c:numCache>
                <c:formatCode>0.0</c:formatCode>
                <c:ptCount val="4"/>
                <c:pt idx="0">
                  <c:v>95.921288670604213</c:v>
                </c:pt>
                <c:pt idx="1">
                  <c:v>31.583009171145818</c:v>
                </c:pt>
                <c:pt idx="2">
                  <c:v>-0.18089924476586816</c:v>
                </c:pt>
                <c:pt idx="3">
                  <c:v>50.561054427320727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B5-4CD3-A675-722EC0A85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9754176"/>
        <c:axId val="1389761856"/>
      </c:lineChart>
      <c:catAx>
        <c:axId val="1389754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89761856"/>
        <c:crosses val="autoZero"/>
        <c:auto val="1"/>
        <c:lblAlgn val="ctr"/>
        <c:lblOffset val="100"/>
        <c:noMultiLvlLbl val="0"/>
      </c:catAx>
      <c:valAx>
        <c:axId val="138976185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IN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89754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IN" b="1" u="sng"/>
              <a:t>Liquidity vs Leverage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Current ratio</c:v>
          </c:tx>
          <c:spPr>
            <a:ln w="28575" cap="rnd">
              <a:solidFill>
                <a:srgbClr val="70AD47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AD47"/>
              </a:solidFill>
              <a:ln w="9525">
                <a:solidFill>
                  <a:srgbClr val="70AD47"/>
                </a:solidFill>
                <a:prstDash val="solid"/>
              </a:ln>
              <a:effectLst/>
            </c:spPr>
          </c:marker>
          <c:dLbls>
            <c:numFmt formatCode="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Dashboard!$Z$26:$AC$26</c:f>
              <c:numCache>
                <c:formatCode>0.00</c:formatCode>
                <c:ptCount val="4"/>
                <c:pt idx="0">
                  <c:v>1.3923008113587276</c:v>
                </c:pt>
                <c:pt idx="1">
                  <c:v>1.3037192663941808</c:v>
                </c:pt>
                <c:pt idx="2">
                  <c:v>1.2882408964928929</c:v>
                </c:pt>
                <c:pt idx="3">
                  <c:v>1.3636743668287754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58-4CFD-B281-4244E13996BA}"/>
            </c:ext>
          </c:extLst>
        </c:ser>
        <c:ser>
          <c:idx val="1"/>
          <c:order val="1"/>
          <c:tx>
            <c:v>Cash ratio</c:v>
          </c:tx>
          <c:spPr>
            <a:ln w="28575" cap="rnd">
              <a:solidFill>
                <a:srgbClr val="0070C0"/>
              </a:solidFill>
              <a:prstDash val="solid"/>
              <a:round/>
            </a:ln>
            <a:effectLst/>
          </c:spPr>
          <c:marker>
            <c:symbol val="squar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  <a:prstDash val="solid"/>
              </a:ln>
              <a:effectLst/>
            </c:spPr>
          </c:marker>
          <c:dLbls>
            <c:numFmt formatCode="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Dashboard!$Z$28:$AC$28</c:f>
              <c:numCache>
                <c:formatCode>0.00</c:formatCode>
                <c:ptCount val="4"/>
                <c:pt idx="0">
                  <c:v>0.32919294932851806</c:v>
                </c:pt>
                <c:pt idx="1">
                  <c:v>0.33473584715843552</c:v>
                </c:pt>
                <c:pt idx="2">
                  <c:v>0.28446125806374256</c:v>
                </c:pt>
                <c:pt idx="3">
                  <c:v>0.24306314343459864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58-4CFD-B281-4244E13996BA}"/>
            </c:ext>
          </c:extLst>
        </c:ser>
        <c:ser>
          <c:idx val="2"/>
          <c:order val="2"/>
          <c:tx>
            <c:v>Debt / Equity</c:v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triang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  <a:effectLst/>
            </c:spPr>
          </c:marker>
          <c:dLbls>
            <c:numFmt formatCode="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Dashboard!$Z$29:$AC$29</c:f>
              <c:numCache>
                <c:formatCode>0.00</c:formatCode>
                <c:ptCount val="4"/>
                <c:pt idx="0">
                  <c:v>0.1906241336824272</c:v>
                </c:pt>
                <c:pt idx="1">
                  <c:v>0.18221612730414313</c:v>
                </c:pt>
                <c:pt idx="2">
                  <c:v>0.20327657304692145</c:v>
                </c:pt>
                <c:pt idx="3">
                  <c:v>0.36239563150992377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58-4CFD-B281-4244E1399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9778656"/>
        <c:axId val="1389764736"/>
      </c:lineChart>
      <c:catAx>
        <c:axId val="1389778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89764736"/>
        <c:crosses val="autoZero"/>
        <c:auto val="1"/>
        <c:lblAlgn val="ctr"/>
        <c:lblOffset val="100"/>
        <c:noMultiLvlLbl val="0"/>
      </c:catAx>
      <c:valAx>
        <c:axId val="1389764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IN"/>
                  <a:t>Ratio (x)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89778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sng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r>
              <a:rPr lang="en-IN" b="1" u="sng"/>
              <a:t>Returns Profile  |  ROA, ROE, ROCE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ROA</c:v>
          </c:tx>
          <c:spPr>
            <a:ln w="28575" cap="rnd">
              <a:solidFill>
                <a:srgbClr val="70AD47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AD47"/>
              </a:solidFill>
              <a:ln w="9525">
                <a:solidFill>
                  <a:srgbClr val="70AD47"/>
                </a:solidFill>
                <a:prstDash val="solid"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Dashboard!$Z$35:$AC$35</c:f>
              <c:numCache>
                <c:formatCode>0.0%;[Red]\(0.0%\);\–</c:formatCode>
                <c:ptCount val="4"/>
                <c:pt idx="0">
                  <c:v>-4.8872008270786804E-2</c:v>
                </c:pt>
                <c:pt idx="1">
                  <c:v>7.9780079593505682E-3</c:v>
                </c:pt>
                <c:pt idx="2">
                  <c:v>8.2583745590374142E-3</c:v>
                </c:pt>
                <c:pt idx="3">
                  <c:v>4.7682248550352021E-3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9-4E2E-86AF-6D5990F9B99E}"/>
            </c:ext>
          </c:extLst>
        </c:ser>
        <c:ser>
          <c:idx val="1"/>
          <c:order val="1"/>
          <c:tx>
            <c:v>ROE</c:v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square"/>
            <c:size val="5"/>
            <c:spPr>
              <a:solidFill>
                <a:srgbClr val="002060"/>
              </a:solidFill>
              <a:ln w="9525">
                <a:solidFill>
                  <a:srgbClr val="002060"/>
                </a:solidFill>
                <a:prstDash val="solid"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Dashboard!$Z$36:$AC$36</c:f>
              <c:numCache>
                <c:formatCode>0.0%;[Red]\(0.0%\);\–</c:formatCode>
                <c:ptCount val="4"/>
                <c:pt idx="0">
                  <c:v>-0.10394655783151086</c:v>
                </c:pt>
                <c:pt idx="1">
                  <c:v>1.6948241759498158E-2</c:v>
                </c:pt>
                <c:pt idx="2">
                  <c:v>1.7901689765167584E-2</c:v>
                </c:pt>
                <c:pt idx="3">
                  <c:v>1.1009880101461613E-2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9-4E2E-86AF-6D5990F9B99E}"/>
            </c:ext>
          </c:extLst>
        </c:ser>
        <c:ser>
          <c:idx val="2"/>
          <c:order val="2"/>
          <c:tx>
            <c:v>ROCE</c:v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triang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Dashboard!$Z$11:$AC$11</c:f>
              <c:strCache>
                <c:ptCount val="4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</c:strCache>
            </c:strRef>
          </c:cat>
          <c:val>
            <c:numRef>
              <c:f>Dashboard!$Z$37:$AC$37</c:f>
              <c:numCache>
                <c:formatCode>0.0%;[Red]\(0.0%\);\–</c:formatCode>
                <c:ptCount val="4"/>
                <c:pt idx="0">
                  <c:v>-9.2365335550268046E-2</c:v>
                </c:pt>
                <c:pt idx="1">
                  <c:v>2.3694725055088756E-2</c:v>
                </c:pt>
                <c:pt idx="2">
                  <c:v>2.8236886621368924E-2</c:v>
                </c:pt>
                <c:pt idx="3">
                  <c:v>2.7950504404798029E-2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9-4E2E-86AF-6D5990F9B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9752256"/>
        <c:axId val="1389770976"/>
      </c:lineChart>
      <c:catAx>
        <c:axId val="1389752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89770976"/>
        <c:crosses val="autoZero"/>
        <c:auto val="1"/>
        <c:lblAlgn val="ctr"/>
        <c:lblOffset val="100"/>
        <c:noMultiLvlLbl val="0"/>
      </c:catAx>
      <c:valAx>
        <c:axId val="13897709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IN"/>
                  <a:t>%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389752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ptos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8</xdr:col>
      <xdr:colOff>0</xdr:colOff>
      <xdr:row>38</xdr:row>
      <xdr:rowOff>0</xdr:rowOff>
    </xdr:to>
    <xdr:graphicFrame macro="">
      <xdr:nvGraphicFramePr>
        <xdr:cNvPr id="2" name="tracelight-cbaac54bc3f64c27revenue-&amp;-ebitda-trend">
          <a:extLst>
            <a:ext uri="{FF2B5EF4-FFF2-40B4-BE49-F238E27FC236}">
              <a16:creationId xmlns:a16="http://schemas.microsoft.com/office/drawing/2014/main" id="{B2F6F03F-8F3D-9105-A52C-84D002B441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15</xdr:col>
      <xdr:colOff>0</xdr:colOff>
      <xdr:row>38</xdr:row>
      <xdr:rowOff>0</xdr:rowOff>
    </xdr:to>
    <xdr:graphicFrame macro="">
      <xdr:nvGraphicFramePr>
        <xdr:cNvPr id="3" name="tracelight-c26f6e405a294ccecash-flow-bridge">
          <a:extLst>
            <a:ext uri="{FF2B5EF4-FFF2-40B4-BE49-F238E27FC236}">
              <a16:creationId xmlns:a16="http://schemas.microsoft.com/office/drawing/2014/main" id="{23332E10-7838-673A-9786-6F1FB8D5EB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16</xdr:row>
      <xdr:rowOff>0</xdr:rowOff>
    </xdr:from>
    <xdr:to>
      <xdr:col>20</xdr:col>
      <xdr:colOff>0</xdr:colOff>
      <xdr:row>38</xdr:row>
      <xdr:rowOff>0</xdr:rowOff>
    </xdr:to>
    <xdr:graphicFrame macro="">
      <xdr:nvGraphicFramePr>
        <xdr:cNvPr id="4" name="tracelight-df2939610298449anet-cash-/-(debt)-position">
          <a:extLst>
            <a:ext uri="{FF2B5EF4-FFF2-40B4-BE49-F238E27FC236}">
              <a16:creationId xmlns:a16="http://schemas.microsoft.com/office/drawing/2014/main" id="{AFC97735-6486-2614-DF2B-B8DA14CE5E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40</xdr:row>
      <xdr:rowOff>0</xdr:rowOff>
    </xdr:from>
    <xdr:to>
      <xdr:col>8</xdr:col>
      <xdr:colOff>0</xdr:colOff>
      <xdr:row>60</xdr:row>
      <xdr:rowOff>0</xdr:rowOff>
    </xdr:to>
    <xdr:graphicFrame macro="">
      <xdr:nvGraphicFramePr>
        <xdr:cNvPr id="5" name="tracelight-c19323fbeee14eb5working-capital-cycle-(days)">
          <a:extLst>
            <a:ext uri="{FF2B5EF4-FFF2-40B4-BE49-F238E27FC236}">
              <a16:creationId xmlns:a16="http://schemas.microsoft.com/office/drawing/2014/main" id="{C91F4EF2-D459-AAAD-A977-CAB9ECE188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0</xdr:colOff>
      <xdr:row>40</xdr:row>
      <xdr:rowOff>0</xdr:rowOff>
    </xdr:from>
    <xdr:to>
      <xdr:col>15</xdr:col>
      <xdr:colOff>0</xdr:colOff>
      <xdr:row>60</xdr:row>
      <xdr:rowOff>0</xdr:rowOff>
    </xdr:to>
    <xdr:graphicFrame macro="">
      <xdr:nvGraphicFramePr>
        <xdr:cNvPr id="6" name="tracelight-c9cd5dac14464f96liquidity-vs-leverage">
          <a:extLst>
            <a:ext uri="{FF2B5EF4-FFF2-40B4-BE49-F238E27FC236}">
              <a16:creationId xmlns:a16="http://schemas.microsoft.com/office/drawing/2014/main" id="{E4D6702F-67B6-1EBE-DF57-D10CE9430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0</xdr:colOff>
      <xdr:row>40</xdr:row>
      <xdr:rowOff>0</xdr:rowOff>
    </xdr:from>
    <xdr:to>
      <xdr:col>20</xdr:col>
      <xdr:colOff>0</xdr:colOff>
      <xdr:row>60</xdr:row>
      <xdr:rowOff>0</xdr:rowOff>
    </xdr:to>
    <xdr:graphicFrame macro="">
      <xdr:nvGraphicFramePr>
        <xdr:cNvPr id="7" name="tracelight-b85f57084a9744a0returns-profile--|--roa,-roe,-roce">
          <a:extLst>
            <a:ext uri="{FF2B5EF4-FFF2-40B4-BE49-F238E27FC236}">
              <a16:creationId xmlns:a16="http://schemas.microsoft.com/office/drawing/2014/main" id="{D76110E6-CCF9-0E7C-0460-ECED9CE2AF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65" row="6">
    <wetp:webextensionref xmlns:r="http://schemas.openxmlformats.org/officeDocument/2006/relationships" r:id="rId1"/>
  </wetp:taskpane>
  <wetp:taskpane dockstate="right" visibility="0" width="350" row="5">
    <wetp:webextensionref xmlns:r="http://schemas.openxmlformats.org/officeDocument/2006/relationships" r:id="rId2"/>
  </wetp:taskpane>
  <wetp:taskpane dockstate="right" visibility="0" width="350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BAAF7C07-3135-4507-96EE-5C503CB0F5AC}">
  <we:reference id="wa200009152" version="1.0.0.4" store="en-US" storeType="OMEX"/>
  <we:alternateReferences>
    <we:reference id="wa200009152" version="1.0.0.4" store="wa200009152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93ADE7-DAF2-4E86-86B0-FBEE44C30BC8}">
  <we:reference id="wa200008399" version="1.0.0.5" store="en-US" storeType="OMEX"/>
  <we:alternateReferences>
    <we:reference id="WA200008399" version="1.0.0.5" store="" storeType="OMEX"/>
  </we:alternateReferences>
  <we:properties>
    <we:property name="ProjectMetadata" value="&quot;{\&quot;projectId\&quot;:\&quot;8736aa2d-1947-410b-9f89-1e6d5ef2d83a\&quot;}&quot;"/>
  </we:properties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AF2C465D-2718-42F1-ABD2-C4B1ECB6F19D}">
  <we:reference id="wa200009379" version="1.0.0.16" store="en-IN" storeType="OMEX"/>
  <we:alternateReferences>
    <we:reference id="wa200009379" version="1.0.0.16" store="WA200009379" storeType="OMEX"/>
  </we:alternateReferences>
  <we:properties/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02967-F60F-4353-B85C-40B7CC5BECAD}">
  <sheetPr>
    <tabColor rgb="FF002060"/>
  </sheetPr>
  <dimension ref="A1:G60"/>
  <sheetViews>
    <sheetView showGridLines="0" zoomScale="85" zoomScaleNormal="11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F10" sqref="F10"/>
    </sheetView>
  </sheetViews>
  <sheetFormatPr defaultRowHeight="15.75" customHeight="1" x14ac:dyDescent="0.25"/>
  <cols>
    <col min="1" max="1" width="2.6640625" style="8" customWidth="1"/>
    <col min="2" max="2" width="57.77734375" style="8" customWidth="1"/>
    <col min="3" max="3" width="2.6640625" style="8" customWidth="1"/>
    <col min="4" max="7" width="19" style="8" customWidth="1"/>
    <col min="8" max="16384" width="8.88671875" style="8"/>
  </cols>
  <sheetData>
    <row r="1" spans="1:7" ht="21" x14ac:dyDescent="0.25">
      <c r="A1" s="7" t="s">
        <v>0</v>
      </c>
      <c r="B1" s="7"/>
      <c r="C1" s="7"/>
      <c r="D1" s="7"/>
      <c r="E1" s="7"/>
      <c r="F1" s="7"/>
      <c r="G1" s="7"/>
    </row>
    <row r="2" spans="1:7" ht="15.75" customHeight="1" x14ac:dyDescent="0.25">
      <c r="A2" s="9" t="s">
        <v>1</v>
      </c>
    </row>
    <row r="3" spans="1:7" ht="15.75" customHeight="1" x14ac:dyDescent="0.25">
      <c r="A3" s="10" t="s">
        <v>2</v>
      </c>
    </row>
    <row r="4" spans="1:7" ht="15.75" customHeight="1" thickBot="1" x14ac:dyDescent="0.3">
      <c r="B4" s="11" t="s">
        <v>3</v>
      </c>
      <c r="C4" s="12"/>
      <c r="D4" s="12" t="s">
        <v>4</v>
      </c>
      <c r="E4" s="12" t="s">
        <v>5</v>
      </c>
      <c r="F4" s="12" t="s">
        <v>6</v>
      </c>
      <c r="G4" s="12" t="s">
        <v>7</v>
      </c>
    </row>
    <row r="5" spans="1:7" ht="15.75" customHeight="1" x14ac:dyDescent="0.25">
      <c r="B5" s="13" t="s">
        <v>8</v>
      </c>
      <c r="C5" s="14"/>
      <c r="D5" s="14"/>
      <c r="E5" s="14"/>
      <c r="F5" s="14"/>
      <c r="G5" s="14"/>
    </row>
    <row r="6" spans="1:7" ht="15.75" customHeight="1" x14ac:dyDescent="0.25">
      <c r="B6" s="15" t="s">
        <v>9</v>
      </c>
      <c r="C6" s="16"/>
      <c r="D6" s="16"/>
      <c r="E6" s="16"/>
      <c r="F6" s="16"/>
      <c r="G6" s="16"/>
    </row>
    <row r="7" spans="1:7" ht="15.75" customHeight="1" x14ac:dyDescent="0.25">
      <c r="B7" s="17" t="s">
        <v>10</v>
      </c>
      <c r="D7" s="8">
        <v>2428.98</v>
      </c>
      <c r="E7" s="8">
        <v>2336.34</v>
      </c>
      <c r="F7" s="8">
        <v>2408.7399999999998</v>
      </c>
      <c r="G7" s="8">
        <v>2510.69</v>
      </c>
    </row>
    <row r="8" spans="1:7" ht="15.75" customHeight="1" x14ac:dyDescent="0.25">
      <c r="B8" s="17" t="s">
        <v>11</v>
      </c>
      <c r="D8" s="8">
        <v>403.21</v>
      </c>
      <c r="E8" s="8">
        <v>422.32</v>
      </c>
      <c r="F8" s="8">
        <v>344.59</v>
      </c>
      <c r="G8" s="8">
        <v>282.32</v>
      </c>
    </row>
    <row r="9" spans="1:7" ht="15.75" customHeight="1" x14ac:dyDescent="0.25">
      <c r="B9" s="17" t="s">
        <v>12</v>
      </c>
      <c r="D9" s="8">
        <v>62.16</v>
      </c>
      <c r="E9" s="8">
        <v>62.12</v>
      </c>
      <c r="F9" s="8">
        <v>67.239999999999995</v>
      </c>
      <c r="G9" s="8">
        <v>63.35</v>
      </c>
    </row>
    <row r="10" spans="1:7" ht="15.75" customHeight="1" x14ac:dyDescent="0.25">
      <c r="B10" s="17" t="s">
        <v>13</v>
      </c>
      <c r="D10" s="8">
        <v>16.350000000000001</v>
      </c>
      <c r="E10" s="8">
        <v>8.66</v>
      </c>
      <c r="F10" s="8">
        <v>9.26</v>
      </c>
      <c r="G10" s="8">
        <v>26.04</v>
      </c>
    </row>
    <row r="11" spans="1:7" ht="15.75" customHeight="1" x14ac:dyDescent="0.25">
      <c r="B11" s="17" t="s">
        <v>14</v>
      </c>
      <c r="D11" s="8">
        <v>181.76</v>
      </c>
      <c r="E11" s="8">
        <v>201.86</v>
      </c>
      <c r="F11" s="8">
        <v>232.29</v>
      </c>
      <c r="G11" s="8">
        <v>254.48</v>
      </c>
    </row>
    <row r="12" spans="1:7" ht="15.75" customHeight="1" x14ac:dyDescent="0.25">
      <c r="B12" s="18" t="s">
        <v>15</v>
      </c>
    </row>
    <row r="13" spans="1:7" ht="15.75" customHeight="1" x14ac:dyDescent="0.25">
      <c r="B13" s="19" t="s">
        <v>16</v>
      </c>
      <c r="D13" s="8">
        <v>3.58</v>
      </c>
      <c r="E13" s="8">
        <v>3.29</v>
      </c>
      <c r="F13" s="8">
        <v>3.13</v>
      </c>
      <c r="G13" s="8">
        <v>1.19</v>
      </c>
    </row>
    <row r="14" spans="1:7" ht="15.75" customHeight="1" x14ac:dyDescent="0.25">
      <c r="B14" s="19" t="s">
        <v>146</v>
      </c>
      <c r="D14" s="8">
        <v>3179.74</v>
      </c>
      <c r="E14" s="8">
        <v>3203.84</v>
      </c>
      <c r="F14" s="8">
        <v>3415.54</v>
      </c>
      <c r="G14" s="8">
        <v>3224.69</v>
      </c>
    </row>
    <row r="15" spans="1:7" ht="15.75" customHeight="1" x14ac:dyDescent="0.25">
      <c r="B15" s="19" t="s">
        <v>17</v>
      </c>
      <c r="D15" s="8">
        <v>97.39</v>
      </c>
      <c r="E15" s="8">
        <v>86.73</v>
      </c>
      <c r="F15" s="8">
        <v>83.96</v>
      </c>
      <c r="G15" s="8">
        <v>206.1</v>
      </c>
    </row>
    <row r="16" spans="1:7" ht="15.75" customHeight="1" x14ac:dyDescent="0.25">
      <c r="B16" s="20" t="s">
        <v>18</v>
      </c>
      <c r="C16" s="21"/>
      <c r="D16" s="21">
        <v>3280.71</v>
      </c>
      <c r="E16" s="21">
        <v>3293.86</v>
      </c>
      <c r="F16" s="21">
        <v>3502.63</v>
      </c>
      <c r="G16" s="21">
        <v>3431.98</v>
      </c>
    </row>
    <row r="17" spans="2:7" ht="15.75" customHeight="1" x14ac:dyDescent="0.25">
      <c r="B17" s="17" t="s">
        <v>19</v>
      </c>
      <c r="D17" s="8">
        <v>3671.24</v>
      </c>
      <c r="E17" s="8">
        <v>3530.08</v>
      </c>
      <c r="F17" s="8">
        <v>3422.62</v>
      </c>
      <c r="G17" s="8">
        <v>4201.26</v>
      </c>
    </row>
    <row r="18" spans="2:7" ht="15.75" customHeight="1" x14ac:dyDescent="0.25">
      <c r="B18" s="17" t="s">
        <v>20</v>
      </c>
      <c r="D18" s="8">
        <v>16852.439999999999</v>
      </c>
      <c r="E18" s="8">
        <v>18526.54</v>
      </c>
      <c r="F18" s="8">
        <v>19300.14</v>
      </c>
      <c r="G18" s="8">
        <v>13689.69</v>
      </c>
    </row>
    <row r="19" spans="2:7" ht="15.75" customHeight="1" x14ac:dyDescent="0.25">
      <c r="B19" s="22" t="s">
        <v>21</v>
      </c>
      <c r="C19" s="23"/>
      <c r="D19" s="23">
        <v>26896.85</v>
      </c>
      <c r="E19" s="23">
        <v>28381.78</v>
      </c>
      <c r="F19" s="23">
        <v>29287.51</v>
      </c>
      <c r="G19" s="23">
        <v>24459.81</v>
      </c>
    </row>
    <row r="20" spans="2:7" ht="15.75" customHeight="1" x14ac:dyDescent="0.25">
      <c r="B20" s="15" t="s">
        <v>22</v>
      </c>
      <c r="C20" s="16"/>
      <c r="D20" s="16"/>
      <c r="E20" s="16"/>
      <c r="F20" s="16"/>
      <c r="G20" s="16"/>
    </row>
    <row r="21" spans="2:7" ht="15.75" customHeight="1" x14ac:dyDescent="0.25">
      <c r="B21" s="17" t="s">
        <v>23</v>
      </c>
      <c r="D21" s="8">
        <v>7194.45</v>
      </c>
      <c r="E21" s="8">
        <v>6560.21</v>
      </c>
      <c r="F21" s="8">
        <v>6755.9</v>
      </c>
      <c r="G21" s="8">
        <v>7220.57</v>
      </c>
    </row>
    <row r="22" spans="2:7" ht="15.75" customHeight="1" x14ac:dyDescent="0.25">
      <c r="B22" s="18" t="s">
        <v>15</v>
      </c>
    </row>
    <row r="23" spans="2:7" ht="15.75" customHeight="1" x14ac:dyDescent="0.25">
      <c r="B23" s="19" t="s">
        <v>24</v>
      </c>
      <c r="D23" s="8">
        <v>4035.07</v>
      </c>
      <c r="E23" s="8">
        <v>3024.75</v>
      </c>
      <c r="F23" s="8">
        <v>3128.35</v>
      </c>
      <c r="G23" s="8">
        <v>4785.38</v>
      </c>
    </row>
    <row r="24" spans="2:7" ht="15.75" customHeight="1" x14ac:dyDescent="0.25">
      <c r="B24" s="19" t="s">
        <v>25</v>
      </c>
      <c r="D24" s="8">
        <v>1527.19</v>
      </c>
      <c r="E24" s="8">
        <v>732.62</v>
      </c>
      <c r="F24" s="8">
        <v>1560.52</v>
      </c>
      <c r="G24" s="8">
        <v>1835.04</v>
      </c>
    </row>
    <row r="25" spans="2:7" ht="15.75" customHeight="1" x14ac:dyDescent="0.25">
      <c r="B25" s="19" t="s">
        <v>26</v>
      </c>
      <c r="D25" s="8">
        <v>5174.26</v>
      </c>
      <c r="E25" s="8">
        <v>6421.07</v>
      </c>
      <c r="F25" s="8">
        <v>5082.0600000000004</v>
      </c>
      <c r="G25" s="8">
        <v>4322.43</v>
      </c>
    </row>
    <row r="26" spans="2:7" ht="15.75" customHeight="1" x14ac:dyDescent="0.25">
      <c r="B26" s="19" t="s">
        <v>27</v>
      </c>
      <c r="D26" s="8">
        <v>232.65</v>
      </c>
      <c r="E26" s="8">
        <v>211.56</v>
      </c>
      <c r="F26" s="8">
        <v>278.23</v>
      </c>
      <c r="G26" s="8">
        <v>239.82</v>
      </c>
    </row>
    <row r="27" spans="2:7" ht="15.75" customHeight="1" x14ac:dyDescent="0.25">
      <c r="B27" s="20" t="s">
        <v>28</v>
      </c>
      <c r="C27" s="21"/>
      <c r="D27" s="21">
        <v>10969.17</v>
      </c>
      <c r="E27" s="21">
        <v>10390</v>
      </c>
      <c r="F27" s="21">
        <v>10049.16</v>
      </c>
      <c r="G27" s="21">
        <v>11182.67</v>
      </c>
    </row>
    <row r="28" spans="2:7" ht="15.75" customHeight="1" x14ac:dyDescent="0.25">
      <c r="B28" s="17" t="s">
        <v>29</v>
      </c>
      <c r="D28" s="8">
        <v>403.6</v>
      </c>
      <c r="E28" s="8">
        <v>119.24</v>
      </c>
      <c r="F28" s="8">
        <v>226.38</v>
      </c>
      <c r="G28" s="8">
        <v>229.07</v>
      </c>
    </row>
    <row r="29" spans="2:7" ht="15.75" customHeight="1" x14ac:dyDescent="0.25">
      <c r="B29" s="17" t="s">
        <v>30</v>
      </c>
      <c r="D29" s="8">
        <v>9776.14</v>
      </c>
      <c r="E29" s="8">
        <v>10792.53</v>
      </c>
      <c r="F29" s="8">
        <v>13050.84</v>
      </c>
      <c r="G29" s="8">
        <v>15913.38</v>
      </c>
    </row>
    <row r="30" spans="2:7" ht="15.75" customHeight="1" thickBot="1" x14ac:dyDescent="0.3">
      <c r="B30" s="22" t="s">
        <v>31</v>
      </c>
      <c r="C30" s="23"/>
      <c r="D30" s="23">
        <v>28343.360000000001</v>
      </c>
      <c r="E30" s="23">
        <v>27861.98</v>
      </c>
      <c r="F30" s="23">
        <v>30082.28</v>
      </c>
      <c r="G30" s="23">
        <v>34545.69</v>
      </c>
    </row>
    <row r="31" spans="2:7" ht="15.75" customHeight="1" thickBot="1" x14ac:dyDescent="0.3">
      <c r="B31" s="24" t="s">
        <v>32</v>
      </c>
      <c r="C31" s="25"/>
      <c r="D31" s="25">
        <v>55240.21</v>
      </c>
      <c r="E31" s="25">
        <v>56243.76</v>
      </c>
      <c r="F31" s="25">
        <v>59369.79</v>
      </c>
      <c r="G31" s="25">
        <v>59005.5</v>
      </c>
    </row>
    <row r="32" spans="2:7" ht="15.75" customHeight="1" thickTop="1" x14ac:dyDescent="0.25">
      <c r="B32" s="13" t="s">
        <v>33</v>
      </c>
      <c r="C32" s="14"/>
      <c r="D32" s="14"/>
      <c r="E32" s="14"/>
      <c r="F32" s="14"/>
      <c r="G32" s="14"/>
    </row>
    <row r="33" spans="2:7" ht="15.75" customHeight="1" x14ac:dyDescent="0.25">
      <c r="B33" s="15" t="s">
        <v>34</v>
      </c>
      <c r="C33" s="16"/>
      <c r="D33" s="16"/>
      <c r="E33" s="16"/>
      <c r="F33" s="16"/>
      <c r="G33" s="16"/>
    </row>
    <row r="34" spans="2:7" ht="15.75" customHeight="1" x14ac:dyDescent="0.25">
      <c r="B34" s="17" t="s">
        <v>35</v>
      </c>
      <c r="D34" s="8">
        <v>696.41</v>
      </c>
      <c r="E34" s="8">
        <v>696.41</v>
      </c>
      <c r="F34" s="8">
        <v>696.41</v>
      </c>
      <c r="G34" s="8">
        <v>696.41</v>
      </c>
    </row>
    <row r="35" spans="2:7" ht="15.75" customHeight="1" x14ac:dyDescent="0.25">
      <c r="B35" s="17" t="s">
        <v>36</v>
      </c>
      <c r="D35" s="8">
        <v>25287.25</v>
      </c>
      <c r="E35" s="8">
        <v>25810.19</v>
      </c>
      <c r="F35" s="8">
        <v>26131.62</v>
      </c>
      <c r="G35" s="8">
        <v>23742.240000000002</v>
      </c>
    </row>
    <row r="36" spans="2:7" ht="15.75" customHeight="1" x14ac:dyDescent="0.25">
      <c r="B36" s="22" t="s">
        <v>37</v>
      </c>
      <c r="C36" s="23"/>
      <c r="D36" s="23">
        <v>25972</v>
      </c>
      <c r="E36" s="23">
        <v>26506.6</v>
      </c>
      <c r="F36" s="23">
        <v>26828.03</v>
      </c>
      <c r="G36" s="23">
        <v>24438.65</v>
      </c>
    </row>
    <row r="37" spans="2:7" ht="15.75" customHeight="1" x14ac:dyDescent="0.25">
      <c r="B37" s="15" t="s">
        <v>38</v>
      </c>
      <c r="C37" s="16"/>
      <c r="D37" s="16"/>
      <c r="E37" s="16"/>
      <c r="F37" s="16"/>
      <c r="G37" s="16"/>
    </row>
    <row r="38" spans="2:7" ht="15.75" customHeight="1" x14ac:dyDescent="0.25">
      <c r="B38" s="18" t="s">
        <v>39</v>
      </c>
    </row>
    <row r="39" spans="2:7" ht="15.75" customHeight="1" x14ac:dyDescent="0.25">
      <c r="B39" s="19" t="s">
        <v>40</v>
      </c>
      <c r="D39" s="8">
        <v>53.41</v>
      </c>
      <c r="E39" s="8">
        <v>35.119999999999997</v>
      </c>
      <c r="F39" s="8">
        <v>33.75</v>
      </c>
      <c r="G39" s="8">
        <v>23.55</v>
      </c>
    </row>
    <row r="40" spans="2:7" ht="15.75" customHeight="1" x14ac:dyDescent="0.25">
      <c r="B40" s="19" t="s">
        <v>41</v>
      </c>
      <c r="D40" s="8">
        <v>157.91999999999999</v>
      </c>
      <c r="E40" s="8">
        <v>127.45</v>
      </c>
      <c r="F40" s="8">
        <v>128.11000000000001</v>
      </c>
    </row>
    <row r="41" spans="2:7" ht="15.75" customHeight="1" x14ac:dyDescent="0.25">
      <c r="B41" s="19" t="s">
        <v>42</v>
      </c>
      <c r="D41" s="8">
        <v>1725.85</v>
      </c>
      <c r="E41" s="8">
        <v>2004.48</v>
      </c>
      <c r="F41" s="8">
        <v>2065.92</v>
      </c>
      <c r="G41" s="8">
        <v>2292.7600000000002</v>
      </c>
    </row>
    <row r="42" spans="2:7" ht="15.75" customHeight="1" x14ac:dyDescent="0.25">
      <c r="B42" s="19" t="s">
        <v>43</v>
      </c>
      <c r="D42" s="8">
        <v>216.72</v>
      </c>
      <c r="E42" s="8">
        <v>215.1</v>
      </c>
      <c r="F42" s="8">
        <v>255.7</v>
      </c>
      <c r="G42" s="8">
        <v>325.88</v>
      </c>
    </row>
    <row r="43" spans="2:7" ht="15.75" customHeight="1" x14ac:dyDescent="0.25">
      <c r="B43" s="20" t="s">
        <v>44</v>
      </c>
      <c r="C43" s="21"/>
      <c r="D43" s="21">
        <v>2153.9</v>
      </c>
      <c r="E43" s="21">
        <v>2382.15</v>
      </c>
      <c r="F43" s="21">
        <v>2483.48</v>
      </c>
      <c r="G43" s="21">
        <v>2642.19</v>
      </c>
    </row>
    <row r="44" spans="2:7" ht="15.75" customHeight="1" x14ac:dyDescent="0.25">
      <c r="B44" s="17" t="s">
        <v>45</v>
      </c>
      <c r="D44" s="8">
        <v>3925.56</v>
      </c>
      <c r="E44" s="8">
        <v>3771.21</v>
      </c>
      <c r="F44" s="8">
        <v>4101.0200000000004</v>
      </c>
      <c r="G44" s="8">
        <v>2489.08</v>
      </c>
    </row>
    <row r="45" spans="2:7" ht="15.75" customHeight="1" x14ac:dyDescent="0.25">
      <c r="B45" s="17" t="s">
        <v>46</v>
      </c>
      <c r="D45" s="8">
        <v>2831.54</v>
      </c>
      <c r="E45" s="8">
        <v>2212.65</v>
      </c>
      <c r="F45" s="8">
        <v>2605.81</v>
      </c>
      <c r="G45" s="8">
        <v>4102.7700000000004</v>
      </c>
    </row>
    <row r="46" spans="2:7" ht="15.75" customHeight="1" x14ac:dyDescent="0.25">
      <c r="B46" s="22" t="s">
        <v>47</v>
      </c>
      <c r="C46" s="23"/>
      <c r="D46" s="23">
        <v>8911</v>
      </c>
      <c r="E46" s="23">
        <v>8366.01</v>
      </c>
      <c r="F46" s="23">
        <v>9190.31</v>
      </c>
      <c r="G46" s="23">
        <v>9234.0400000000009</v>
      </c>
    </row>
    <row r="47" spans="2:7" ht="15.75" customHeight="1" x14ac:dyDescent="0.25">
      <c r="B47" s="15" t="s">
        <v>48</v>
      </c>
      <c r="C47" s="16"/>
      <c r="D47" s="16"/>
      <c r="E47" s="16"/>
      <c r="F47" s="16"/>
      <c r="G47" s="16"/>
    </row>
    <row r="48" spans="2:7" ht="15.75" customHeight="1" x14ac:dyDescent="0.25">
      <c r="B48" s="18" t="s">
        <v>39</v>
      </c>
    </row>
    <row r="49" spans="2:7" ht="15.75" customHeight="1" x14ac:dyDescent="0.25">
      <c r="B49" s="19" t="s">
        <v>49</v>
      </c>
      <c r="D49" s="8">
        <v>4849.28</v>
      </c>
      <c r="E49" s="8">
        <v>4745</v>
      </c>
      <c r="F49" s="8">
        <v>5385</v>
      </c>
      <c r="G49" s="8">
        <v>8808</v>
      </c>
    </row>
    <row r="50" spans="2:7" ht="15.75" customHeight="1" x14ac:dyDescent="0.25">
      <c r="B50" s="19" t="s">
        <v>50</v>
      </c>
      <c r="D50" s="8">
        <v>48.2</v>
      </c>
      <c r="E50" s="8">
        <v>49.81</v>
      </c>
      <c r="F50" s="8">
        <v>34.76</v>
      </c>
      <c r="G50" s="8">
        <v>24.91</v>
      </c>
    </row>
    <row r="51" spans="2:7" ht="15.75" customHeight="1" x14ac:dyDescent="0.25">
      <c r="B51" s="19" t="s">
        <v>51</v>
      </c>
      <c r="D51" s="8">
        <v>751.57</v>
      </c>
      <c r="E51" s="8">
        <v>745.82</v>
      </c>
      <c r="F51" s="8">
        <v>1211.53</v>
      </c>
      <c r="G51" s="8">
        <v>1157.45</v>
      </c>
    </row>
    <row r="52" spans="2:7" ht="15.75" customHeight="1" x14ac:dyDescent="0.25">
      <c r="B52" s="19" t="s">
        <v>52</v>
      </c>
      <c r="D52" s="8">
        <v>5929.26</v>
      </c>
      <c r="E52" s="8">
        <v>7003.77</v>
      </c>
      <c r="F52" s="8">
        <v>8684.2999999999993</v>
      </c>
      <c r="G52" s="8">
        <v>7538.79</v>
      </c>
    </row>
    <row r="53" spans="2:7" ht="15.75" customHeight="1" x14ac:dyDescent="0.25">
      <c r="B53" s="19" t="s">
        <v>53</v>
      </c>
      <c r="D53" s="8">
        <v>929.58</v>
      </c>
      <c r="E53" s="8">
        <v>1124.0899999999999</v>
      </c>
      <c r="F53" s="8">
        <v>1276.93</v>
      </c>
      <c r="G53" s="8">
        <v>1418.44</v>
      </c>
    </row>
    <row r="54" spans="2:7" ht="15.75" customHeight="1" x14ac:dyDescent="0.25">
      <c r="B54" s="20" t="s">
        <v>54</v>
      </c>
      <c r="C54" s="21"/>
      <c r="D54" s="21">
        <v>12507.89</v>
      </c>
      <c r="E54" s="21">
        <v>13668.49</v>
      </c>
      <c r="F54" s="21">
        <v>16592.52</v>
      </c>
      <c r="G54" s="21">
        <v>18947.59</v>
      </c>
    </row>
    <row r="55" spans="2:7" ht="15.75" customHeight="1" x14ac:dyDescent="0.25">
      <c r="B55" s="17" t="s">
        <v>55</v>
      </c>
      <c r="D55" s="8">
        <v>3168.52</v>
      </c>
      <c r="E55" s="8">
        <v>3066.7</v>
      </c>
      <c r="F55" s="8">
        <v>2796.63</v>
      </c>
      <c r="G55" s="8">
        <v>2318.27</v>
      </c>
    </row>
    <row r="56" spans="2:7" ht="15.75" customHeight="1" x14ac:dyDescent="0.25">
      <c r="B56" s="17" t="s">
        <v>56</v>
      </c>
      <c r="D56" s="8">
        <v>4680.8</v>
      </c>
      <c r="E56" s="8">
        <v>4635.96</v>
      </c>
      <c r="F56" s="8">
        <v>3962.29</v>
      </c>
      <c r="G56" s="8">
        <v>4066.94</v>
      </c>
    </row>
    <row r="57" spans="2:7" ht="15.75" customHeight="1" x14ac:dyDescent="0.25">
      <c r="B57" s="22" t="s">
        <v>57</v>
      </c>
      <c r="C57" s="23"/>
      <c r="D57" s="23">
        <v>20357.21</v>
      </c>
      <c r="E57" s="23">
        <v>21371.15</v>
      </c>
      <c r="F57" s="23">
        <v>23351.439999999999</v>
      </c>
      <c r="G57" s="23">
        <v>25332.799999999999</v>
      </c>
    </row>
    <row r="58" spans="2:7" ht="15.75" customHeight="1" thickBot="1" x14ac:dyDescent="0.3">
      <c r="B58" s="22" t="s">
        <v>58</v>
      </c>
      <c r="C58" s="23"/>
      <c r="D58" s="23">
        <v>29268.21</v>
      </c>
      <c r="E58" s="23">
        <v>29737.16</v>
      </c>
      <c r="F58" s="23">
        <v>32541.75</v>
      </c>
      <c r="G58" s="23">
        <v>34566.839999999997</v>
      </c>
    </row>
    <row r="59" spans="2:7" ht="15.75" customHeight="1" thickBot="1" x14ac:dyDescent="0.3">
      <c r="B59" s="24" t="s">
        <v>59</v>
      </c>
      <c r="C59" s="25"/>
      <c r="D59" s="25">
        <v>55240.21</v>
      </c>
      <c r="E59" s="25">
        <v>56243.76</v>
      </c>
      <c r="F59" s="25">
        <v>59369.79</v>
      </c>
      <c r="G59" s="25">
        <v>59005.5</v>
      </c>
    </row>
    <row r="60" spans="2:7" ht="15.75" customHeight="1" thickTop="1" x14ac:dyDescent="0.25"/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9B74A-27D1-4B6F-8BAC-528C585C4096}">
  <sheetPr>
    <tabColor rgb="FF002060"/>
  </sheetPr>
  <dimension ref="A1:G36"/>
  <sheetViews>
    <sheetView showGridLines="0" zoomScale="91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E24" sqref="E24"/>
    </sheetView>
  </sheetViews>
  <sheetFormatPr defaultRowHeight="15.75" customHeight="1" x14ac:dyDescent="0.25"/>
  <cols>
    <col min="1" max="1" width="2.33203125" customWidth="1"/>
    <col min="2" max="2" width="50.21875" customWidth="1"/>
    <col min="3" max="3" width="2.33203125" customWidth="1"/>
    <col min="4" max="7" width="19" customWidth="1"/>
  </cols>
  <sheetData>
    <row r="1" spans="1:7" ht="21" x14ac:dyDescent="0.25">
      <c r="A1" s="7" t="s">
        <v>60</v>
      </c>
      <c r="B1" s="7"/>
      <c r="C1" s="7"/>
      <c r="D1" s="7"/>
      <c r="E1" s="7"/>
      <c r="F1" s="7"/>
      <c r="G1" s="7"/>
    </row>
    <row r="2" spans="1:7" ht="15.75" customHeight="1" x14ac:dyDescent="0.25">
      <c r="A2" s="9" t="s">
        <v>61</v>
      </c>
      <c r="B2" s="8"/>
      <c r="C2" s="8"/>
      <c r="D2" s="8"/>
      <c r="E2" s="8"/>
      <c r="F2" s="8"/>
      <c r="G2" s="8"/>
    </row>
    <row r="3" spans="1:7" ht="15.75" customHeight="1" x14ac:dyDescent="0.25">
      <c r="A3" s="10" t="s">
        <v>2</v>
      </c>
      <c r="B3" s="8"/>
      <c r="C3" s="8"/>
      <c r="D3" s="8"/>
      <c r="E3" s="8"/>
      <c r="F3" s="8"/>
      <c r="G3" s="8"/>
    </row>
    <row r="4" spans="1:7" ht="15.75" customHeight="1" thickBot="1" x14ac:dyDescent="0.3">
      <c r="A4" s="8"/>
      <c r="B4" s="11" t="s">
        <v>3</v>
      </c>
      <c r="C4" s="12"/>
      <c r="D4" s="12" t="s">
        <v>62</v>
      </c>
      <c r="E4" s="12" t="s">
        <v>63</v>
      </c>
      <c r="F4" s="12" t="s">
        <v>64</v>
      </c>
      <c r="G4" s="12" t="s">
        <v>65</v>
      </c>
    </row>
    <row r="5" spans="1:7" ht="15.75" customHeight="1" x14ac:dyDescent="0.25">
      <c r="A5" s="8"/>
      <c r="B5" s="15" t="s">
        <v>66</v>
      </c>
      <c r="C5" s="16"/>
      <c r="D5" s="16"/>
      <c r="E5" s="16"/>
      <c r="F5" s="16"/>
      <c r="G5" s="16"/>
    </row>
    <row r="6" spans="1:7" ht="15.75" customHeight="1" x14ac:dyDescent="0.25">
      <c r="A6" s="8"/>
      <c r="B6" s="17" t="s">
        <v>67</v>
      </c>
      <c r="C6" s="8"/>
      <c r="D6" s="8">
        <v>17308.689999999999</v>
      </c>
      <c r="E6" s="8">
        <v>21211.09</v>
      </c>
      <c r="F6" s="8">
        <v>23364.94</v>
      </c>
      <c r="G6" s="8">
        <v>23892.78</v>
      </c>
    </row>
    <row r="7" spans="1:7" ht="15.75" customHeight="1" x14ac:dyDescent="0.25">
      <c r="A7" s="8"/>
      <c r="B7" s="17" t="s">
        <v>68</v>
      </c>
      <c r="C7" s="8"/>
      <c r="D7" s="8">
        <v>348.42</v>
      </c>
      <c r="E7" s="8">
        <v>354.54</v>
      </c>
      <c r="F7" s="8">
        <v>488.63</v>
      </c>
      <c r="G7" s="8">
        <v>546.27</v>
      </c>
    </row>
    <row r="8" spans="1:7" ht="15.75" customHeight="1" x14ac:dyDescent="0.25">
      <c r="A8" s="8"/>
      <c r="B8" s="22" t="s">
        <v>69</v>
      </c>
      <c r="C8" s="23"/>
      <c r="D8" s="23">
        <v>17657.11</v>
      </c>
      <c r="E8" s="23">
        <v>21565.63</v>
      </c>
      <c r="F8" s="23">
        <v>23853.57</v>
      </c>
      <c r="G8" s="23">
        <v>24439.05</v>
      </c>
    </row>
    <row r="9" spans="1:7" ht="15.75" customHeight="1" x14ac:dyDescent="0.25">
      <c r="A9" s="8"/>
      <c r="B9" s="15" t="s">
        <v>70</v>
      </c>
      <c r="C9" s="16"/>
      <c r="D9" s="16"/>
      <c r="E9" s="16"/>
      <c r="F9" s="16"/>
      <c r="G9" s="16"/>
    </row>
    <row r="10" spans="1:7" ht="15.75" customHeight="1" x14ac:dyDescent="0.25">
      <c r="A10" s="8"/>
      <c r="B10" s="17" t="s">
        <v>71</v>
      </c>
      <c r="C10" s="8"/>
      <c r="D10" s="8">
        <v>4346.62</v>
      </c>
      <c r="E10" s="8">
        <v>5055.63</v>
      </c>
      <c r="F10" s="8">
        <v>5875.28</v>
      </c>
      <c r="G10" s="8">
        <v>6116.27</v>
      </c>
    </row>
    <row r="11" spans="1:7" ht="15.75" customHeight="1" x14ac:dyDescent="0.25">
      <c r="A11" s="8"/>
      <c r="B11" s="17" t="s">
        <v>72</v>
      </c>
      <c r="C11" s="8"/>
      <c r="D11" s="8">
        <v>3811.94</v>
      </c>
      <c r="E11" s="8">
        <v>4141.75</v>
      </c>
      <c r="F11" s="8">
        <v>4657.33</v>
      </c>
      <c r="G11" s="8">
        <v>5868.46</v>
      </c>
    </row>
    <row r="12" spans="1:7" ht="15.75" customHeight="1" x14ac:dyDescent="0.25">
      <c r="A12" s="8"/>
      <c r="B12" s="17" t="s">
        <v>73</v>
      </c>
      <c r="C12" s="8"/>
      <c r="D12" s="8">
        <v>2912.47</v>
      </c>
      <c r="E12" s="8">
        <v>4792.6099999999997</v>
      </c>
      <c r="F12" s="8">
        <v>5421.08</v>
      </c>
      <c r="G12" s="8">
        <v>4908.84</v>
      </c>
    </row>
    <row r="13" spans="1:7" ht="15.75" customHeight="1" x14ac:dyDescent="0.25">
      <c r="A13" s="8"/>
      <c r="B13" s="17" t="s">
        <v>74</v>
      </c>
      <c r="C13" s="8"/>
      <c r="D13" s="8">
        <v>288.74</v>
      </c>
      <c r="E13" s="8">
        <v>271.44</v>
      </c>
      <c r="F13" s="8">
        <v>404.18</v>
      </c>
      <c r="G13" s="8">
        <v>350.28</v>
      </c>
    </row>
    <row r="14" spans="1:7" ht="15.75" customHeight="1" x14ac:dyDescent="0.25">
      <c r="A14" s="8"/>
      <c r="B14" s="17" t="s">
        <v>75</v>
      </c>
      <c r="C14" s="8"/>
      <c r="D14" s="8">
        <v>510.86</v>
      </c>
      <c r="E14" s="8">
        <v>532.41</v>
      </c>
      <c r="F14" s="8">
        <v>-57.15</v>
      </c>
      <c r="G14" s="8">
        <v>-436.74</v>
      </c>
    </row>
    <row r="15" spans="1:7" ht="15.75" customHeight="1" x14ac:dyDescent="0.25">
      <c r="A15" s="8"/>
      <c r="B15" s="17" t="s">
        <v>76</v>
      </c>
      <c r="C15" s="8"/>
      <c r="D15" s="8">
        <v>5378.15</v>
      </c>
      <c r="E15" s="8">
        <v>5519.05</v>
      </c>
      <c r="F15" s="8">
        <v>5700.63</v>
      </c>
      <c r="G15" s="8">
        <v>5628.84</v>
      </c>
    </row>
    <row r="16" spans="1:7" ht="15.75" customHeight="1" x14ac:dyDescent="0.25">
      <c r="A16" s="8"/>
      <c r="B16" s="17" t="s">
        <v>77</v>
      </c>
      <c r="C16" s="8"/>
      <c r="D16" s="8">
        <v>3201.2</v>
      </c>
      <c r="E16" s="8">
        <v>162.62</v>
      </c>
      <c r="F16" s="8">
        <v>647.03</v>
      </c>
      <c r="G16" s="8">
        <v>844.23</v>
      </c>
    </row>
    <row r="17" spans="1:7" ht="15.75" customHeight="1" x14ac:dyDescent="0.25">
      <c r="A17" s="8"/>
      <c r="B17" s="17" t="s">
        <v>78</v>
      </c>
      <c r="C17" s="8"/>
      <c r="D17" s="8">
        <v>373.95</v>
      </c>
      <c r="E17" s="8">
        <v>355.96</v>
      </c>
      <c r="F17" s="8">
        <v>521.42999999999995</v>
      </c>
      <c r="G17" s="8">
        <v>731.29</v>
      </c>
    </row>
    <row r="18" spans="1:7" ht="15.75" customHeight="1" x14ac:dyDescent="0.25">
      <c r="A18" s="8"/>
      <c r="B18" s="17" t="s">
        <v>79</v>
      </c>
      <c r="C18" s="8"/>
      <c r="D18" s="8">
        <v>473.25</v>
      </c>
      <c r="E18" s="8">
        <v>314.12</v>
      </c>
      <c r="F18" s="8">
        <v>260.33999999999997</v>
      </c>
      <c r="G18" s="8">
        <v>248.9</v>
      </c>
    </row>
    <row r="19" spans="1:7" ht="15.75" customHeight="1" x14ac:dyDescent="0.25">
      <c r="A19" s="8"/>
      <c r="B19" s="22" t="s">
        <v>80</v>
      </c>
      <c r="C19" s="23"/>
      <c r="D19" s="23">
        <v>21297.18</v>
      </c>
      <c r="E19" s="23">
        <v>21145.59</v>
      </c>
      <c r="F19" s="23">
        <v>23430.15</v>
      </c>
      <c r="G19" s="23">
        <v>24260.37</v>
      </c>
    </row>
    <row r="20" spans="1:7" ht="15.75" customHeight="1" x14ac:dyDescent="0.25">
      <c r="A20" s="8"/>
      <c r="B20" s="22" t="s">
        <v>81</v>
      </c>
      <c r="C20" s="23"/>
      <c r="D20" s="23">
        <v>-3640.07</v>
      </c>
      <c r="E20" s="23">
        <v>420.04</v>
      </c>
      <c r="F20" s="23">
        <v>423.42</v>
      </c>
      <c r="G20" s="23">
        <v>178.68</v>
      </c>
    </row>
    <row r="21" spans="1:7" ht="15.75" customHeight="1" x14ac:dyDescent="0.25">
      <c r="A21" s="8"/>
      <c r="B21" s="17" t="s">
        <v>82</v>
      </c>
      <c r="C21" s="8"/>
      <c r="D21" s="8">
        <v>44.14</v>
      </c>
      <c r="E21" s="8">
        <v>50.42</v>
      </c>
      <c r="F21" s="8">
        <v>56.02</v>
      </c>
      <c r="G21" s="8">
        <v>63.98</v>
      </c>
    </row>
    <row r="22" spans="1:7" ht="15.75" customHeight="1" x14ac:dyDescent="0.25">
      <c r="A22" s="8"/>
      <c r="B22" s="22" t="s">
        <v>83</v>
      </c>
      <c r="C22" s="23"/>
      <c r="D22" s="23">
        <v>-3595.93</v>
      </c>
      <c r="E22" s="23">
        <v>470.46</v>
      </c>
      <c r="F22" s="23">
        <v>479.44</v>
      </c>
      <c r="G22" s="23">
        <v>242.66</v>
      </c>
    </row>
    <row r="23" spans="1:7" ht="15.75" customHeight="1" x14ac:dyDescent="0.25">
      <c r="A23" s="8"/>
      <c r="B23" s="15" t="s">
        <v>84</v>
      </c>
      <c r="C23" s="16"/>
      <c r="D23" s="16"/>
      <c r="E23" s="16"/>
      <c r="F23" s="16"/>
      <c r="G23" s="16"/>
    </row>
    <row r="24" spans="1:7" ht="15.75" customHeight="1" x14ac:dyDescent="0.25">
      <c r="A24" s="8"/>
      <c r="B24" s="17" t="s">
        <v>85</v>
      </c>
      <c r="C24" s="8"/>
      <c r="D24" s="8">
        <v>15.82</v>
      </c>
      <c r="E24" s="8">
        <v>-77.13</v>
      </c>
      <c r="F24" s="8">
        <v>-111.22</v>
      </c>
      <c r="G24" s="8">
        <v>-112.56</v>
      </c>
    </row>
    <row r="25" spans="1:7" ht="15.75" customHeight="1" x14ac:dyDescent="0.25">
      <c r="A25" s="8"/>
      <c r="B25" s="17" t="s">
        <v>86</v>
      </c>
      <c r="C25" s="8"/>
      <c r="D25" s="8">
        <v>-912.05</v>
      </c>
      <c r="E25" s="8">
        <v>102.88</v>
      </c>
      <c r="F25" s="8">
        <v>113.27</v>
      </c>
      <c r="G25" s="8">
        <v>73</v>
      </c>
    </row>
    <row r="26" spans="1:7" ht="15.75" customHeight="1" thickBot="1" x14ac:dyDescent="0.3">
      <c r="A26" s="8"/>
      <c r="B26" s="22" t="s">
        <v>87</v>
      </c>
      <c r="C26" s="23"/>
      <c r="D26" s="23">
        <v>-896.23</v>
      </c>
      <c r="E26" s="23">
        <v>25.75</v>
      </c>
      <c r="F26" s="23">
        <v>2.0499999999999998</v>
      </c>
      <c r="G26" s="23">
        <v>-39.56</v>
      </c>
    </row>
    <row r="27" spans="1:7" ht="15.75" customHeight="1" thickBot="1" x14ac:dyDescent="0.3">
      <c r="A27" s="8"/>
      <c r="B27" s="24" t="s">
        <v>88</v>
      </c>
      <c r="C27" s="25"/>
      <c r="D27" s="25">
        <v>-2699.7</v>
      </c>
      <c r="E27" s="25">
        <v>444.71</v>
      </c>
      <c r="F27" s="25">
        <v>477.39</v>
      </c>
      <c r="G27" s="25">
        <v>282.22000000000003</v>
      </c>
    </row>
    <row r="28" spans="1:7" ht="15.75" customHeight="1" thickTop="1" x14ac:dyDescent="0.25">
      <c r="A28" s="8"/>
      <c r="B28" s="13" t="s">
        <v>89</v>
      </c>
      <c r="C28" s="14"/>
      <c r="D28" s="14"/>
      <c r="E28" s="14"/>
      <c r="F28" s="14"/>
      <c r="G28" s="14"/>
    </row>
    <row r="29" spans="1:7" ht="15.75" customHeight="1" x14ac:dyDescent="0.25">
      <c r="A29" s="8"/>
      <c r="B29" s="18" t="s">
        <v>90</v>
      </c>
      <c r="C29" s="8"/>
      <c r="D29" s="8"/>
      <c r="E29" s="8"/>
      <c r="F29" s="8"/>
      <c r="G29" s="8"/>
    </row>
    <row r="30" spans="1:7" ht="15.75" customHeight="1" x14ac:dyDescent="0.25">
      <c r="A30" s="8"/>
      <c r="B30" s="19" t="s">
        <v>91</v>
      </c>
      <c r="C30" s="8"/>
      <c r="D30" s="8">
        <v>19.98</v>
      </c>
      <c r="E30" s="8">
        <v>76.87</v>
      </c>
      <c r="F30" s="8">
        <v>-17.27</v>
      </c>
      <c r="G30" s="8">
        <v>-82.41</v>
      </c>
    </row>
    <row r="31" spans="1:7" ht="15.75" customHeight="1" x14ac:dyDescent="0.25">
      <c r="A31" s="8"/>
      <c r="B31" s="19" t="s">
        <v>92</v>
      </c>
      <c r="C31" s="8"/>
      <c r="D31" s="8">
        <v>7.0000000000000007E-2</v>
      </c>
      <c r="E31" s="8">
        <v>0.03</v>
      </c>
      <c r="F31" s="8">
        <v>0.59</v>
      </c>
      <c r="G31" s="8">
        <v>-0.14000000000000001</v>
      </c>
    </row>
    <row r="32" spans="1:7" ht="15.75" customHeight="1" thickBot="1" x14ac:dyDescent="0.3">
      <c r="A32" s="8"/>
      <c r="B32" s="22" t="s">
        <v>93</v>
      </c>
      <c r="C32" s="23"/>
      <c r="D32" s="23">
        <v>20.05</v>
      </c>
      <c r="E32" s="23">
        <v>76.900000000000006</v>
      </c>
      <c r="F32" s="23">
        <v>-16.68</v>
      </c>
      <c r="G32" s="23">
        <v>-82.55</v>
      </c>
    </row>
    <row r="33" spans="1:7" ht="15.75" customHeight="1" thickBot="1" x14ac:dyDescent="0.3">
      <c r="A33" s="8"/>
      <c r="B33" s="24" t="s">
        <v>94</v>
      </c>
      <c r="C33" s="25"/>
      <c r="D33" s="25">
        <v>-2679.65</v>
      </c>
      <c r="E33" s="25">
        <v>521.61</v>
      </c>
      <c r="F33" s="25">
        <v>460.71</v>
      </c>
      <c r="G33" s="25">
        <v>199.67</v>
      </c>
    </row>
    <row r="34" spans="1:7" ht="15.75" customHeight="1" thickTop="1" x14ac:dyDescent="0.25">
      <c r="A34" s="8"/>
      <c r="B34" s="15" t="s">
        <v>95</v>
      </c>
      <c r="C34" s="16"/>
      <c r="D34" s="16"/>
      <c r="E34" s="16"/>
      <c r="F34" s="16"/>
      <c r="G34" s="16"/>
    </row>
    <row r="35" spans="1:7" ht="15.75" customHeight="1" x14ac:dyDescent="0.25">
      <c r="A35" s="8"/>
      <c r="B35" s="17" t="s">
        <v>96</v>
      </c>
      <c r="C35" s="8"/>
      <c r="D35" s="8">
        <v>-7.75</v>
      </c>
      <c r="E35" s="8">
        <v>1.28</v>
      </c>
      <c r="F35" s="8">
        <v>1.37</v>
      </c>
      <c r="G35" s="8">
        <v>0.81</v>
      </c>
    </row>
    <row r="36" spans="1:7" ht="15.75" customHeight="1" x14ac:dyDescent="0.25">
      <c r="A36" s="8"/>
      <c r="B36" s="17" t="s">
        <v>97</v>
      </c>
      <c r="C36" s="8"/>
      <c r="D36" s="8">
        <v>-7.75</v>
      </c>
      <c r="E36" s="8">
        <v>1.28</v>
      </c>
      <c r="F36" s="8">
        <v>1.37</v>
      </c>
      <c r="G36" s="8">
        <v>0.81</v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3E28C-A3D5-464A-B841-DD79758B64E4}">
  <sheetPr>
    <tabColor rgb="FF002060"/>
  </sheetPr>
  <dimension ref="A1:G53"/>
  <sheetViews>
    <sheetView showGridLines="0" zoomScale="97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B35" sqref="B35"/>
    </sheetView>
  </sheetViews>
  <sheetFormatPr defaultRowHeight="15.75" customHeight="1" x14ac:dyDescent="0.25"/>
  <cols>
    <col min="1" max="1" width="2.6640625" customWidth="1"/>
    <col min="2" max="2" width="57.77734375" customWidth="1"/>
    <col min="3" max="3" width="2.6640625" customWidth="1"/>
    <col min="4" max="7" width="19" customWidth="1"/>
  </cols>
  <sheetData>
    <row r="1" spans="1:7" ht="21" x14ac:dyDescent="0.25">
      <c r="A1" s="7" t="s">
        <v>98</v>
      </c>
      <c r="B1" s="7"/>
      <c r="C1" s="7"/>
      <c r="D1" s="7"/>
      <c r="E1" s="7"/>
      <c r="F1" s="7"/>
      <c r="G1" s="7"/>
    </row>
    <row r="2" spans="1:7" ht="15.75" customHeight="1" x14ac:dyDescent="0.25">
      <c r="A2" s="9" t="s">
        <v>61</v>
      </c>
      <c r="B2" s="8"/>
      <c r="C2" s="8"/>
      <c r="D2" s="8"/>
      <c r="E2" s="8"/>
      <c r="F2" s="8"/>
      <c r="G2" s="8"/>
    </row>
    <row r="3" spans="1:7" ht="15.75" customHeight="1" x14ac:dyDescent="0.25">
      <c r="A3" s="10" t="s">
        <v>2</v>
      </c>
      <c r="B3" s="8"/>
      <c r="C3" s="8"/>
      <c r="D3" s="8"/>
      <c r="E3" s="8"/>
      <c r="F3" s="8"/>
      <c r="G3" s="8"/>
    </row>
    <row r="4" spans="1:7" ht="15.75" customHeight="1" thickBot="1" x14ac:dyDescent="0.3">
      <c r="A4" s="8"/>
      <c r="B4" s="11" t="s">
        <v>3</v>
      </c>
      <c r="C4" s="12"/>
      <c r="D4" s="12" t="s">
        <v>62</v>
      </c>
      <c r="E4" s="12" t="s">
        <v>63</v>
      </c>
      <c r="F4" s="12" t="s">
        <v>64</v>
      </c>
      <c r="G4" s="12" t="s">
        <v>65</v>
      </c>
    </row>
    <row r="5" spans="1:7" ht="15.75" customHeight="1" x14ac:dyDescent="0.25">
      <c r="A5" s="8"/>
      <c r="B5" s="13" t="s">
        <v>99</v>
      </c>
      <c r="C5" s="14"/>
      <c r="D5" s="14"/>
      <c r="E5" s="14"/>
      <c r="F5" s="14"/>
      <c r="G5" s="14"/>
    </row>
    <row r="6" spans="1:7" ht="15.75" customHeight="1" x14ac:dyDescent="0.25">
      <c r="A6" s="8"/>
      <c r="B6" s="17" t="s">
        <v>100</v>
      </c>
      <c r="C6" s="8"/>
      <c r="D6" s="8">
        <v>-3595.93</v>
      </c>
      <c r="E6" s="8">
        <v>470.46</v>
      </c>
      <c r="F6" s="8">
        <v>479.44</v>
      </c>
      <c r="G6" s="8">
        <v>242.66</v>
      </c>
    </row>
    <row r="7" spans="1:7" ht="15.75" customHeight="1" x14ac:dyDescent="0.25">
      <c r="A7" s="8"/>
      <c r="B7" s="15" t="s">
        <v>101</v>
      </c>
      <c r="C7" s="16"/>
      <c r="D7" s="16"/>
      <c r="E7" s="16"/>
      <c r="F7" s="16"/>
      <c r="G7" s="16"/>
    </row>
    <row r="8" spans="1:7" ht="15.75" customHeight="1" x14ac:dyDescent="0.25">
      <c r="A8" s="8"/>
      <c r="B8" s="19" t="s">
        <v>102</v>
      </c>
      <c r="C8" s="8"/>
      <c r="D8" s="8">
        <v>1241.08</v>
      </c>
      <c r="E8" s="8">
        <v>-1120.06</v>
      </c>
      <c r="F8" s="8">
        <v>-86.31</v>
      </c>
      <c r="G8" s="8">
        <v>-1188.18</v>
      </c>
    </row>
    <row r="9" spans="1:7" ht="15.75" customHeight="1" x14ac:dyDescent="0.25">
      <c r="A9" s="8"/>
      <c r="B9" s="19" t="s">
        <v>103</v>
      </c>
      <c r="C9" s="8"/>
      <c r="D9" s="8">
        <v>473.25</v>
      </c>
      <c r="E9" s="8">
        <v>314.12</v>
      </c>
      <c r="F9" s="8">
        <v>260.33999999999997</v>
      </c>
      <c r="G9" s="8">
        <v>248.9</v>
      </c>
    </row>
    <row r="10" spans="1:7" ht="15.75" customHeight="1" x14ac:dyDescent="0.25">
      <c r="A10" s="8"/>
      <c r="B10" s="19" t="s">
        <v>104</v>
      </c>
      <c r="C10" s="8"/>
      <c r="D10" s="8">
        <v>373.95</v>
      </c>
      <c r="E10" s="8">
        <v>355.96</v>
      </c>
      <c r="F10" s="8">
        <v>521.42999999999995</v>
      </c>
      <c r="G10" s="8">
        <v>731.29</v>
      </c>
    </row>
    <row r="11" spans="1:7" ht="15.75" customHeight="1" x14ac:dyDescent="0.25">
      <c r="A11" s="8"/>
      <c r="B11" s="19" t="s">
        <v>105</v>
      </c>
      <c r="C11" s="8"/>
      <c r="D11" s="8">
        <v>-320.86</v>
      </c>
      <c r="E11" s="8">
        <v>-302.79000000000002</v>
      </c>
      <c r="F11" s="8">
        <v>-421.12</v>
      </c>
      <c r="G11" s="8">
        <v>-493.78</v>
      </c>
    </row>
    <row r="12" spans="1:7" ht="15.75" customHeight="1" x14ac:dyDescent="0.25">
      <c r="A12" s="8"/>
      <c r="B12" s="19" t="s">
        <v>106</v>
      </c>
      <c r="C12" s="8"/>
      <c r="D12" s="8">
        <v>-44.14</v>
      </c>
      <c r="E12" s="8">
        <v>-50.42</v>
      </c>
      <c r="F12" s="8">
        <v>-56.02</v>
      </c>
      <c r="G12" s="8">
        <v>-63.98</v>
      </c>
    </row>
    <row r="13" spans="1:7" ht="15.75" customHeight="1" x14ac:dyDescent="0.25">
      <c r="A13" s="8"/>
      <c r="B13" s="19" t="s">
        <v>107</v>
      </c>
      <c r="C13" s="8"/>
      <c r="D13" s="8"/>
      <c r="E13" s="8">
        <v>-17.079999999999998</v>
      </c>
      <c r="F13" s="8">
        <v>0</v>
      </c>
      <c r="G13" s="8"/>
    </row>
    <row r="14" spans="1:7" ht="15.75" customHeight="1" x14ac:dyDescent="0.25">
      <c r="A14" s="8"/>
      <c r="B14" s="19" t="s">
        <v>108</v>
      </c>
      <c r="C14" s="8"/>
      <c r="D14" s="8">
        <v>5.8</v>
      </c>
      <c r="E14" s="8">
        <v>19.260000000000002</v>
      </c>
      <c r="F14" s="8">
        <v>-401.85</v>
      </c>
      <c r="G14" s="8">
        <v>56.03</v>
      </c>
    </row>
    <row r="15" spans="1:7" ht="15.75" customHeight="1" x14ac:dyDescent="0.25">
      <c r="A15" s="8"/>
      <c r="B15" s="19" t="s">
        <v>109</v>
      </c>
      <c r="C15" s="8"/>
      <c r="D15" s="8"/>
      <c r="E15" s="8"/>
      <c r="F15" s="8">
        <v>-8.9</v>
      </c>
      <c r="G15" s="8">
        <v>-15.62</v>
      </c>
    </row>
    <row r="16" spans="1:7" ht="15.75" customHeight="1" x14ac:dyDescent="0.25">
      <c r="A16" s="8"/>
      <c r="B16" s="19" t="s">
        <v>110</v>
      </c>
      <c r="C16" s="8"/>
      <c r="D16" s="8">
        <v>-3.79</v>
      </c>
      <c r="E16" s="8">
        <v>-6.61</v>
      </c>
      <c r="F16" s="8">
        <v>-33.020000000000003</v>
      </c>
      <c r="G16" s="8">
        <v>-7.78</v>
      </c>
    </row>
    <row r="17" spans="1:7" ht="15.75" customHeight="1" x14ac:dyDescent="0.25">
      <c r="A17" s="8"/>
      <c r="B17" s="22" t="s">
        <v>111</v>
      </c>
      <c r="C17" s="23"/>
      <c r="D17" s="23">
        <v>-1870.64</v>
      </c>
      <c r="E17" s="23">
        <v>-337.16</v>
      </c>
      <c r="F17" s="23">
        <v>253.99</v>
      </c>
      <c r="G17" s="23">
        <v>-490.46</v>
      </c>
    </row>
    <row r="18" spans="1:7" ht="15.75" customHeight="1" x14ac:dyDescent="0.25">
      <c r="A18" s="8"/>
      <c r="B18" s="15" t="s">
        <v>112</v>
      </c>
      <c r="C18" s="16"/>
      <c r="D18" s="16"/>
      <c r="E18" s="16"/>
      <c r="F18" s="16"/>
      <c r="G18" s="16"/>
    </row>
    <row r="19" spans="1:7" ht="15.75" customHeight="1" x14ac:dyDescent="0.25">
      <c r="A19" s="8"/>
      <c r="B19" s="19" t="s">
        <v>113</v>
      </c>
      <c r="C19" s="8"/>
      <c r="D19" s="8">
        <v>4014.8</v>
      </c>
      <c r="E19" s="8">
        <v>1881.12</v>
      </c>
      <c r="F19" s="8">
        <v>92.04</v>
      </c>
      <c r="G19" s="8">
        <v>-2469.2399999999998</v>
      </c>
    </row>
    <row r="20" spans="1:7" ht="15.75" customHeight="1" x14ac:dyDescent="0.25">
      <c r="A20" s="8"/>
      <c r="B20" s="19" t="s">
        <v>114</v>
      </c>
      <c r="C20" s="8"/>
      <c r="D20" s="8">
        <v>-1310.6099999999999</v>
      </c>
      <c r="E20" s="8">
        <v>-2594.15</v>
      </c>
      <c r="F20" s="8">
        <v>-2370.65</v>
      </c>
      <c r="G20" s="8">
        <v>-13.7</v>
      </c>
    </row>
    <row r="21" spans="1:7" ht="15.75" customHeight="1" x14ac:dyDescent="0.25">
      <c r="A21" s="8"/>
      <c r="B21" s="19" t="s">
        <v>23</v>
      </c>
      <c r="C21" s="8"/>
      <c r="D21" s="8">
        <v>1536.71</v>
      </c>
      <c r="E21" s="8">
        <v>603.4</v>
      </c>
      <c r="F21" s="8">
        <v>-192.4</v>
      </c>
      <c r="G21" s="8">
        <v>-503.04</v>
      </c>
    </row>
    <row r="22" spans="1:7" ht="15.75" customHeight="1" x14ac:dyDescent="0.25">
      <c r="A22" s="8"/>
      <c r="B22" s="19" t="s">
        <v>115</v>
      </c>
      <c r="C22" s="8"/>
      <c r="D22" s="8">
        <v>-246.86</v>
      </c>
      <c r="E22" s="8">
        <v>143.49</v>
      </c>
      <c r="F22" s="8">
        <v>-262.27999999999997</v>
      </c>
      <c r="G22" s="8">
        <v>-740.8</v>
      </c>
    </row>
    <row r="23" spans="1:7" ht="15.75" customHeight="1" x14ac:dyDescent="0.25">
      <c r="A23" s="8"/>
      <c r="B23" s="22" t="s">
        <v>116</v>
      </c>
      <c r="C23" s="23"/>
      <c r="D23" s="23">
        <v>3994.04</v>
      </c>
      <c r="E23" s="23">
        <v>33.86</v>
      </c>
      <c r="F23" s="23">
        <v>-2733.29</v>
      </c>
      <c r="G23" s="23">
        <v>-3726.78</v>
      </c>
    </row>
    <row r="24" spans="1:7" ht="15.75" customHeight="1" x14ac:dyDescent="0.25">
      <c r="A24" s="8"/>
      <c r="B24" s="19" t="s">
        <v>117</v>
      </c>
      <c r="C24" s="8"/>
      <c r="D24" s="8">
        <v>-1305.4000000000001</v>
      </c>
      <c r="E24" s="8">
        <v>1300.96</v>
      </c>
      <c r="F24" s="8">
        <v>2103.6799999999998</v>
      </c>
      <c r="G24" s="8">
        <v>-962.56</v>
      </c>
    </row>
    <row r="25" spans="1:7" ht="15.75" customHeight="1" x14ac:dyDescent="0.25">
      <c r="A25" s="8"/>
      <c r="B25" s="19" t="s">
        <v>118</v>
      </c>
      <c r="C25" s="8"/>
      <c r="D25" s="8">
        <v>-94.08</v>
      </c>
      <c r="E25" s="8">
        <v>-387.69</v>
      </c>
      <c r="F25" s="8">
        <v>-167.84</v>
      </c>
      <c r="G25" s="8">
        <v>1244.73</v>
      </c>
    </row>
    <row r="26" spans="1:7" ht="15.75" customHeight="1" x14ac:dyDescent="0.25">
      <c r="A26" s="8"/>
      <c r="B26" s="19" t="s">
        <v>119</v>
      </c>
      <c r="C26" s="8"/>
      <c r="D26" s="8">
        <v>26.38</v>
      </c>
      <c r="E26" s="8">
        <v>-358.6</v>
      </c>
      <c r="F26" s="8">
        <v>-308.48</v>
      </c>
      <c r="G26" s="8"/>
    </row>
    <row r="27" spans="1:7" ht="15.75" customHeight="1" x14ac:dyDescent="0.25">
      <c r="A27" s="8"/>
      <c r="B27" s="22" t="s">
        <v>120</v>
      </c>
      <c r="C27" s="23"/>
      <c r="D27" s="23">
        <v>-1373.1</v>
      </c>
      <c r="E27" s="23">
        <v>554.66999999999996</v>
      </c>
      <c r="F27" s="23">
        <v>1627.36</v>
      </c>
      <c r="G27" s="23">
        <v>282.17</v>
      </c>
    </row>
    <row r="28" spans="1:7" ht="15.75" customHeight="1" x14ac:dyDescent="0.25">
      <c r="A28" s="8"/>
      <c r="B28" s="22" t="s">
        <v>121</v>
      </c>
      <c r="C28" s="23"/>
      <c r="D28" s="23">
        <v>2620.94</v>
      </c>
      <c r="E28" s="23">
        <v>588.53</v>
      </c>
      <c r="F28" s="23">
        <v>-1105.93</v>
      </c>
      <c r="G28" s="23">
        <v>-3444.61</v>
      </c>
    </row>
    <row r="29" spans="1:7" ht="15.75" customHeight="1" x14ac:dyDescent="0.25">
      <c r="A29" s="8"/>
      <c r="B29" s="22" t="s">
        <v>122</v>
      </c>
      <c r="C29" s="23"/>
      <c r="D29" s="23">
        <v>750.3</v>
      </c>
      <c r="E29" s="23">
        <v>251.37</v>
      </c>
      <c r="F29" s="23">
        <v>-851.94</v>
      </c>
      <c r="G29" s="23">
        <v>-3935.07</v>
      </c>
    </row>
    <row r="30" spans="1:7" ht="15.75" customHeight="1" x14ac:dyDescent="0.25">
      <c r="A30" s="8"/>
      <c r="B30" s="19" t="s">
        <v>123</v>
      </c>
      <c r="C30" s="8"/>
      <c r="D30" s="8">
        <v>-216.65</v>
      </c>
      <c r="E30" s="8">
        <v>-258</v>
      </c>
      <c r="F30" s="8">
        <v>-155.54</v>
      </c>
      <c r="G30" s="8">
        <v>-158.47999999999999</v>
      </c>
    </row>
    <row r="31" spans="1:7" ht="15.75" customHeight="1" thickBot="1" x14ac:dyDescent="0.3">
      <c r="A31" s="8"/>
      <c r="B31" s="19" t="s">
        <v>124</v>
      </c>
      <c r="C31" s="8"/>
      <c r="D31" s="8">
        <v>26.3</v>
      </c>
      <c r="E31" s="8">
        <v>666.88</v>
      </c>
      <c r="F31" s="8">
        <v>265.95999999999998</v>
      </c>
      <c r="G31" s="8">
        <v>380.65</v>
      </c>
    </row>
    <row r="32" spans="1:7" ht="15.75" customHeight="1" thickBot="1" x14ac:dyDescent="0.3">
      <c r="A32" s="8"/>
      <c r="B32" s="24" t="s">
        <v>125</v>
      </c>
      <c r="C32" s="25"/>
      <c r="D32" s="25">
        <v>559.95000000000005</v>
      </c>
      <c r="E32" s="25">
        <v>660.25</v>
      </c>
      <c r="F32" s="25">
        <v>-741.52</v>
      </c>
      <c r="G32" s="25">
        <v>-3712.9</v>
      </c>
    </row>
    <row r="33" spans="1:7" ht="15.75" customHeight="1" thickTop="1" x14ac:dyDescent="0.25">
      <c r="A33" s="8"/>
      <c r="B33" s="13" t="s">
        <v>126</v>
      </c>
      <c r="C33" s="14"/>
      <c r="D33" s="14"/>
      <c r="E33" s="14"/>
      <c r="F33" s="14"/>
      <c r="G33" s="14"/>
    </row>
    <row r="34" spans="1:7" ht="15.75" customHeight="1" x14ac:dyDescent="0.25">
      <c r="A34" s="8"/>
      <c r="B34" s="19" t="s">
        <v>127</v>
      </c>
      <c r="C34" s="8"/>
      <c r="D34" s="8">
        <v>-159.97999999999999</v>
      </c>
      <c r="E34" s="8">
        <v>-1251.1199999999999</v>
      </c>
      <c r="F34" s="8">
        <v>1358.78</v>
      </c>
      <c r="G34" s="8">
        <v>1112.69</v>
      </c>
    </row>
    <row r="35" spans="1:7" ht="15.75" customHeight="1" x14ac:dyDescent="0.25">
      <c r="A35" s="8"/>
      <c r="B35" s="19" t="s">
        <v>128</v>
      </c>
      <c r="C35" s="8"/>
      <c r="D35" s="8">
        <v>343.11</v>
      </c>
      <c r="E35" s="8">
        <v>257.93</v>
      </c>
      <c r="F35" s="8">
        <v>250.72</v>
      </c>
      <c r="G35" s="8">
        <v>399.3</v>
      </c>
    </row>
    <row r="36" spans="1:7" ht="15.75" customHeight="1" x14ac:dyDescent="0.25">
      <c r="A36" s="8"/>
      <c r="B36" s="19" t="s">
        <v>129</v>
      </c>
      <c r="C36" s="8"/>
      <c r="D36" s="8">
        <v>1.42</v>
      </c>
      <c r="E36" s="8"/>
      <c r="F36" s="8"/>
      <c r="G36" s="8"/>
    </row>
    <row r="37" spans="1:7" ht="15.75" customHeight="1" x14ac:dyDescent="0.25">
      <c r="A37" s="8"/>
      <c r="B37" s="19" t="s">
        <v>130</v>
      </c>
      <c r="C37" s="8"/>
      <c r="D37" s="8"/>
      <c r="E37" s="8"/>
      <c r="F37" s="8">
        <v>25.42</v>
      </c>
      <c r="G37" s="8">
        <v>0.8</v>
      </c>
    </row>
    <row r="38" spans="1:7" ht="15.75" customHeight="1" x14ac:dyDescent="0.25">
      <c r="A38" s="8"/>
      <c r="B38" s="19" t="s">
        <v>131</v>
      </c>
      <c r="C38" s="8"/>
      <c r="D38" s="8">
        <v>21.42</v>
      </c>
      <c r="E38" s="8">
        <v>30.35</v>
      </c>
      <c r="F38" s="8">
        <v>26.18</v>
      </c>
      <c r="G38" s="8">
        <v>41.65</v>
      </c>
    </row>
    <row r="39" spans="1:7" ht="15.75" customHeight="1" x14ac:dyDescent="0.25">
      <c r="A39" s="8"/>
      <c r="B39" s="19" t="s">
        <v>132</v>
      </c>
      <c r="C39" s="8"/>
      <c r="D39" s="8">
        <v>1.88</v>
      </c>
      <c r="E39" s="8">
        <v>6.9</v>
      </c>
      <c r="F39" s="8">
        <v>7.76</v>
      </c>
      <c r="G39" s="8">
        <v>8.92</v>
      </c>
    </row>
    <row r="40" spans="1:7" ht="15.75" customHeight="1" thickBot="1" x14ac:dyDescent="0.3">
      <c r="A40" s="8"/>
      <c r="B40" s="19" t="s">
        <v>133</v>
      </c>
      <c r="C40" s="8"/>
      <c r="D40" s="8">
        <v>-250.35</v>
      </c>
      <c r="E40" s="8">
        <v>-169.38</v>
      </c>
      <c r="F40" s="8">
        <v>-188.4</v>
      </c>
      <c r="G40" s="8">
        <v>-232.5</v>
      </c>
    </row>
    <row r="41" spans="1:7" ht="15.75" customHeight="1" thickBot="1" x14ac:dyDescent="0.3">
      <c r="A41" s="8"/>
      <c r="B41" s="24" t="s">
        <v>134</v>
      </c>
      <c r="C41" s="25"/>
      <c r="D41" s="25">
        <v>-42.5</v>
      </c>
      <c r="E41" s="25">
        <v>-1125.32</v>
      </c>
      <c r="F41" s="25">
        <v>1480.46</v>
      </c>
      <c r="G41" s="25">
        <v>1330.86</v>
      </c>
    </row>
    <row r="42" spans="1:7" ht="15.75" customHeight="1" thickTop="1" x14ac:dyDescent="0.25">
      <c r="A42" s="8"/>
      <c r="B42" s="13" t="s">
        <v>135</v>
      </c>
      <c r="C42" s="14"/>
      <c r="D42" s="14"/>
      <c r="E42" s="14"/>
      <c r="F42" s="14"/>
      <c r="G42" s="14"/>
    </row>
    <row r="43" spans="1:7" ht="15.75" customHeight="1" x14ac:dyDescent="0.25">
      <c r="A43" s="8"/>
      <c r="B43" s="19" t="s">
        <v>136</v>
      </c>
      <c r="C43" s="8"/>
      <c r="D43" s="8">
        <v>-98.01</v>
      </c>
      <c r="E43" s="8">
        <v>-87.53</v>
      </c>
      <c r="F43" s="8">
        <v>640</v>
      </c>
      <c r="G43" s="8">
        <v>3423</v>
      </c>
    </row>
    <row r="44" spans="1:7" ht="15.75" customHeight="1" x14ac:dyDescent="0.25">
      <c r="A44" s="8"/>
      <c r="B44" s="19" t="s">
        <v>137</v>
      </c>
      <c r="C44" s="8"/>
      <c r="D44" s="8">
        <v>-60.3</v>
      </c>
      <c r="E44" s="8">
        <v>-48.79</v>
      </c>
      <c r="F44" s="8">
        <v>-49.77</v>
      </c>
      <c r="G44" s="8">
        <v>-34.32</v>
      </c>
    </row>
    <row r="45" spans="1:7" ht="15.75" customHeight="1" x14ac:dyDescent="0.25">
      <c r="A45" s="8"/>
      <c r="B45" s="19" t="s">
        <v>138</v>
      </c>
      <c r="C45" s="8"/>
      <c r="D45" s="8">
        <v>-12.95</v>
      </c>
      <c r="E45" s="8">
        <v>-9.57</v>
      </c>
      <c r="F45" s="8">
        <v>-7.27</v>
      </c>
      <c r="G45" s="8">
        <v>-4.7300000000000004</v>
      </c>
    </row>
    <row r="46" spans="1:7" ht="15.75" customHeight="1" x14ac:dyDescent="0.25">
      <c r="A46" s="8"/>
      <c r="B46" s="19" t="s">
        <v>139</v>
      </c>
      <c r="C46" s="8"/>
      <c r="D46" s="8">
        <v>-0.68</v>
      </c>
      <c r="E46" s="8">
        <v>-0.3</v>
      </c>
      <c r="F46" s="8">
        <v>-139.18</v>
      </c>
      <c r="G46" s="8">
        <v>-139.44999999999999</v>
      </c>
    </row>
    <row r="47" spans="1:7" ht="15.75" customHeight="1" thickBot="1" x14ac:dyDescent="0.3">
      <c r="A47" s="8"/>
      <c r="B47" s="19" t="s">
        <v>140</v>
      </c>
      <c r="C47" s="8"/>
      <c r="D47" s="8">
        <v>-222.21</v>
      </c>
      <c r="E47" s="8">
        <v>-183.3</v>
      </c>
      <c r="F47" s="8">
        <v>-354.82</v>
      </c>
      <c r="G47" s="8">
        <v>-588.76</v>
      </c>
    </row>
    <row r="48" spans="1:7" ht="15.75" customHeight="1" x14ac:dyDescent="0.25">
      <c r="A48" s="8"/>
      <c r="B48" s="26" t="s">
        <v>141</v>
      </c>
      <c r="C48" s="27"/>
      <c r="D48" s="27">
        <v>-394.15</v>
      </c>
      <c r="E48" s="27">
        <v>-329.49</v>
      </c>
      <c r="F48" s="27">
        <v>88.96</v>
      </c>
      <c r="G48" s="27">
        <v>2655.74</v>
      </c>
    </row>
    <row r="49" spans="1:7" ht="15.75" customHeight="1" x14ac:dyDescent="0.25">
      <c r="A49" s="8"/>
      <c r="B49" s="22" t="s">
        <v>142</v>
      </c>
      <c r="C49" s="23"/>
      <c r="D49" s="23">
        <v>123.3</v>
      </c>
      <c r="E49" s="23">
        <v>-794.56</v>
      </c>
      <c r="F49" s="23">
        <v>827.9</v>
      </c>
      <c r="G49" s="23">
        <v>273.7</v>
      </c>
    </row>
    <row r="50" spans="1:7" ht="15.75" customHeight="1" x14ac:dyDescent="0.25">
      <c r="A50" s="8"/>
      <c r="B50" s="17" t="s">
        <v>143</v>
      </c>
      <c r="C50" s="8"/>
      <c r="D50" s="8">
        <v>1396.6</v>
      </c>
      <c r="E50" s="8">
        <v>1519.9</v>
      </c>
      <c r="F50" s="8">
        <v>732.62</v>
      </c>
      <c r="G50" s="8">
        <v>1561.34</v>
      </c>
    </row>
    <row r="51" spans="1:7" ht="15.75" customHeight="1" thickBot="1" x14ac:dyDescent="0.3">
      <c r="A51" s="8"/>
      <c r="B51" s="17" t="s">
        <v>144</v>
      </c>
      <c r="C51" s="8"/>
      <c r="D51" s="8">
        <v>0</v>
      </c>
      <c r="E51" s="8">
        <v>7.28</v>
      </c>
      <c r="F51" s="8">
        <v>0</v>
      </c>
      <c r="G51" s="8"/>
    </row>
    <row r="52" spans="1:7" ht="15.75" customHeight="1" thickBot="1" x14ac:dyDescent="0.3">
      <c r="A52" s="8"/>
      <c r="B52" s="24" t="s">
        <v>145</v>
      </c>
      <c r="C52" s="25"/>
      <c r="D52" s="25">
        <v>1519.9</v>
      </c>
      <c r="E52" s="25">
        <v>732.62</v>
      </c>
      <c r="F52" s="25">
        <v>1560.52</v>
      </c>
      <c r="G52" s="25">
        <v>1835.04</v>
      </c>
    </row>
    <row r="53" spans="1:7" ht="15.75" customHeight="1" thickTop="1" x14ac:dyDescent="0.25"/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61C0D-8E8A-455A-90F6-DEAD39A4F1BE}">
  <sheetPr>
    <tabColor rgb="FF00B050"/>
  </sheetPr>
  <dimension ref="B1:H170"/>
  <sheetViews>
    <sheetView showGridLines="0" zoomScale="75" workbookViewId="0">
      <pane xSplit="4" ySplit="4" topLeftCell="E31" activePane="bottomRight" state="frozen"/>
      <selection pane="topRight" activeCell="D1" sqref="D1"/>
      <selection pane="bottomLeft" activeCell="A5" sqref="A5"/>
      <selection pane="bottomRight" activeCell="C38" sqref="C38"/>
    </sheetView>
  </sheetViews>
  <sheetFormatPr defaultRowHeight="15.75" customHeight="1" x14ac:dyDescent="0.25"/>
  <cols>
    <col min="1" max="1" width="4.109375" style="29" customWidth="1"/>
    <col min="2" max="2" width="3.5546875" style="29" customWidth="1"/>
    <col min="3" max="3" width="48.109375" style="29" customWidth="1"/>
    <col min="4" max="4" width="33" style="29" customWidth="1"/>
    <col min="5" max="8" width="15" style="29" customWidth="1"/>
    <col min="9" max="16384" width="8.88671875" style="29"/>
  </cols>
  <sheetData>
    <row r="1" spans="2:8" ht="27.95" customHeight="1" x14ac:dyDescent="0.25">
      <c r="B1" s="80" t="s">
        <v>187</v>
      </c>
      <c r="C1" s="80"/>
      <c r="D1" s="80"/>
      <c r="E1" s="80"/>
      <c r="F1" s="80"/>
      <c r="G1" s="80"/>
      <c r="H1" s="80"/>
    </row>
    <row r="2" spans="2:8" ht="18" customHeight="1" x14ac:dyDescent="0.25">
      <c r="B2" s="33"/>
      <c r="C2" s="98" t="s">
        <v>188</v>
      </c>
      <c r="D2" s="33"/>
      <c r="E2" s="33"/>
      <c r="F2" s="33"/>
      <c r="G2" s="33"/>
      <c r="H2" s="33"/>
    </row>
    <row r="4" spans="2:8" ht="21.95" customHeight="1" x14ac:dyDescent="0.25">
      <c r="B4" s="81"/>
      <c r="C4" s="81" t="s">
        <v>3</v>
      </c>
      <c r="D4" s="81" t="s">
        <v>189</v>
      </c>
      <c r="E4" s="82" t="s">
        <v>147</v>
      </c>
      <c r="F4" s="82" t="s">
        <v>148</v>
      </c>
      <c r="G4" s="82" t="s">
        <v>149</v>
      </c>
      <c r="H4" s="82" t="s">
        <v>150</v>
      </c>
    </row>
    <row r="5" spans="2:8" ht="15.75" customHeight="1" x14ac:dyDescent="0.25">
      <c r="B5" s="6"/>
      <c r="C5" s="6" t="s">
        <v>190</v>
      </c>
      <c r="D5" s="6"/>
      <c r="E5" s="83"/>
      <c r="F5" s="83"/>
      <c r="G5" s="83"/>
      <c r="H5" s="83"/>
    </row>
    <row r="6" spans="2:8" ht="15.75" customHeight="1" x14ac:dyDescent="0.25">
      <c r="C6" s="29" t="s">
        <v>67</v>
      </c>
      <c r="D6" s="33" t="s">
        <v>152</v>
      </c>
      <c r="E6" s="28">
        <f>'P&amp;L'!D6</f>
        <v>17308.689999999999</v>
      </c>
      <c r="F6" s="28">
        <f>'P&amp;L'!E6</f>
        <v>21211.09</v>
      </c>
      <c r="G6" s="28">
        <f>'P&amp;L'!F6</f>
        <v>23364.94</v>
      </c>
      <c r="H6" s="28">
        <f>'P&amp;L'!G6</f>
        <v>23892.78</v>
      </c>
    </row>
    <row r="7" spans="2:8" ht="15.75" customHeight="1" x14ac:dyDescent="0.25">
      <c r="C7" s="37" t="s">
        <v>191</v>
      </c>
      <c r="D7" s="33" t="s">
        <v>192</v>
      </c>
      <c r="E7" s="38"/>
      <c r="F7" s="39">
        <f t="shared" ref="F7:H7" si="0">F6/E6-1</f>
        <v>0.22545900354099602</v>
      </c>
      <c r="G7" s="39">
        <f t="shared" si="0"/>
        <v>0.10154357932572067</v>
      </c>
      <c r="H7" s="39">
        <f t="shared" si="0"/>
        <v>2.2591113009492014E-2</v>
      </c>
    </row>
    <row r="8" spans="2:8" ht="15.75" customHeight="1" x14ac:dyDescent="0.25">
      <c r="C8" s="29" t="s">
        <v>68</v>
      </c>
      <c r="D8" s="33" t="s">
        <v>193</v>
      </c>
      <c r="E8" s="28">
        <f>'P&amp;L'!D7</f>
        <v>348.42</v>
      </c>
      <c r="F8" s="28">
        <f>'P&amp;L'!E7</f>
        <v>354.54</v>
      </c>
      <c r="G8" s="28">
        <f>'P&amp;L'!F7</f>
        <v>488.63</v>
      </c>
      <c r="H8" s="28">
        <f>'P&amp;L'!G7</f>
        <v>546.27</v>
      </c>
    </row>
    <row r="9" spans="2:8" ht="15.75" customHeight="1" x14ac:dyDescent="0.25">
      <c r="B9" s="36"/>
      <c r="C9" s="3" t="s">
        <v>154</v>
      </c>
      <c r="D9" s="84" t="s">
        <v>155</v>
      </c>
      <c r="E9" s="40">
        <f>'P&amp;L'!D8</f>
        <v>17657.11</v>
      </c>
      <c r="F9" s="40">
        <f>'P&amp;L'!E8</f>
        <v>21565.63</v>
      </c>
      <c r="G9" s="40">
        <f>'P&amp;L'!F8</f>
        <v>23853.57</v>
      </c>
      <c r="H9" s="40">
        <f>'P&amp;L'!G8</f>
        <v>24439.05</v>
      </c>
    </row>
    <row r="10" spans="2:8" ht="15.75" customHeight="1" x14ac:dyDescent="0.25">
      <c r="C10" s="37" t="s">
        <v>194</v>
      </c>
      <c r="D10" s="33" t="s">
        <v>192</v>
      </c>
      <c r="E10" s="38"/>
      <c r="F10" s="39">
        <f t="shared" ref="F10:H10" si="1">F9/E9-1</f>
        <v>0.22135672258937045</v>
      </c>
      <c r="G10" s="39">
        <f t="shared" si="1"/>
        <v>0.10609196207112892</v>
      </c>
      <c r="H10" s="39">
        <f t="shared" si="1"/>
        <v>2.4544753678380271E-2</v>
      </c>
    </row>
    <row r="11" spans="2:8" ht="15.75" customHeight="1" x14ac:dyDescent="0.25">
      <c r="C11" s="29" t="s">
        <v>195</v>
      </c>
      <c r="D11" s="33" t="s">
        <v>196</v>
      </c>
      <c r="E11" s="41">
        <f>'P&amp;L'!D10+'P&amp;L'!D11+'P&amp;L'!D12+'P&amp;L'!D13+'P&amp;L'!D14</f>
        <v>11870.63</v>
      </c>
      <c r="F11" s="41">
        <f>'P&amp;L'!E10+'P&amp;L'!E11+'P&amp;L'!E12+'P&amp;L'!E13+'P&amp;L'!E14</f>
        <v>14793.840000000002</v>
      </c>
      <c r="G11" s="41">
        <f>'P&amp;L'!F10+'P&amp;L'!F11+'P&amp;L'!F12+'P&amp;L'!F13+'P&amp;L'!F14</f>
        <v>16300.720000000001</v>
      </c>
      <c r="H11" s="41">
        <f>'P&amp;L'!G10+'P&amp;L'!G11+'P&amp;L'!G12+'P&amp;L'!G13+'P&amp;L'!G14</f>
        <v>16807.109999999997</v>
      </c>
    </row>
    <row r="12" spans="2:8" ht="15.75" customHeight="1" x14ac:dyDescent="0.25">
      <c r="B12" s="43"/>
      <c r="C12" s="5" t="s">
        <v>197</v>
      </c>
      <c r="D12" s="85" t="s">
        <v>198</v>
      </c>
      <c r="E12" s="44">
        <f t="shared" ref="E12:H12" si="2">E6-E11</f>
        <v>5438.0599999999995</v>
      </c>
      <c r="F12" s="44">
        <f t="shared" si="2"/>
        <v>6417.2499999999982</v>
      </c>
      <c r="G12" s="44">
        <f t="shared" si="2"/>
        <v>7064.2199999999975</v>
      </c>
      <c r="H12" s="44">
        <f t="shared" si="2"/>
        <v>7085.6700000000019</v>
      </c>
    </row>
    <row r="13" spans="2:8" ht="15.75" customHeight="1" x14ac:dyDescent="0.25">
      <c r="C13" s="37" t="s">
        <v>199</v>
      </c>
      <c r="D13" s="33" t="s">
        <v>200</v>
      </c>
      <c r="E13" s="39">
        <f t="shared" ref="E13:H13" si="3">E12/E6</f>
        <v>0.31418091143812732</v>
      </c>
      <c r="F13" s="39">
        <f t="shared" si="3"/>
        <v>0.30254220787333408</v>
      </c>
      <c r="G13" s="39">
        <f t="shared" si="3"/>
        <v>0.30234274087585922</v>
      </c>
      <c r="H13" s="39">
        <f t="shared" si="3"/>
        <v>0.29656113687900704</v>
      </c>
    </row>
    <row r="14" spans="2:8" ht="15.75" customHeight="1" x14ac:dyDescent="0.25">
      <c r="C14" s="29" t="s">
        <v>201</v>
      </c>
      <c r="D14" s="33" t="s">
        <v>202</v>
      </c>
      <c r="E14" s="28">
        <f>'P&amp;L'!D15</f>
        <v>5378.15</v>
      </c>
      <c r="F14" s="28">
        <f>'P&amp;L'!E15</f>
        <v>5519.05</v>
      </c>
      <c r="G14" s="28">
        <f>'P&amp;L'!F15</f>
        <v>5700.63</v>
      </c>
      <c r="H14" s="28">
        <f>'P&amp;L'!G15</f>
        <v>5628.84</v>
      </c>
    </row>
    <row r="15" spans="2:8" ht="15.75" customHeight="1" x14ac:dyDescent="0.25">
      <c r="C15" s="29" t="s">
        <v>203</v>
      </c>
      <c r="D15" s="33" t="s">
        <v>204</v>
      </c>
      <c r="E15" s="28">
        <f>'P&amp;L'!D16</f>
        <v>3201.2</v>
      </c>
      <c r="F15" s="28">
        <f>'P&amp;L'!E16</f>
        <v>162.62</v>
      </c>
      <c r="G15" s="28">
        <f>'P&amp;L'!F16</f>
        <v>647.03</v>
      </c>
      <c r="H15" s="28">
        <f>'P&amp;L'!G16</f>
        <v>844.23</v>
      </c>
    </row>
    <row r="16" spans="2:8" ht="15.75" customHeight="1" x14ac:dyDescent="0.25">
      <c r="B16" s="43"/>
      <c r="C16" s="5" t="s">
        <v>205</v>
      </c>
      <c r="D16" s="85" t="s">
        <v>206</v>
      </c>
      <c r="E16" s="44">
        <f>'P&amp;L'!D22+'P&amp;L'!D17+'P&amp;L'!D18</f>
        <v>-2748.73</v>
      </c>
      <c r="F16" s="44">
        <f>'P&amp;L'!E22+'P&amp;L'!E17+'P&amp;L'!E18</f>
        <v>1140.54</v>
      </c>
      <c r="G16" s="44">
        <f>'P&amp;L'!F22+'P&amp;L'!F17+'P&amp;L'!F18</f>
        <v>1261.2099999999998</v>
      </c>
      <c r="H16" s="44">
        <f>'P&amp;L'!G22+'P&amp;L'!G17+'P&amp;L'!G18</f>
        <v>1222.8499999999999</v>
      </c>
    </row>
    <row r="17" spans="2:8" ht="15.75" customHeight="1" x14ac:dyDescent="0.25">
      <c r="C17" s="37" t="s">
        <v>207</v>
      </c>
      <c r="D17" s="33" t="s">
        <v>208</v>
      </c>
      <c r="E17" s="39">
        <f t="shared" ref="E17:H17" si="4">E16/E6</f>
        <v>-0.15880635680689875</v>
      </c>
      <c r="F17" s="39">
        <f t="shared" si="4"/>
        <v>5.3770928320986802E-2</v>
      </c>
      <c r="G17" s="39">
        <f t="shared" si="4"/>
        <v>5.3978739085142093E-2</v>
      </c>
      <c r="H17" s="39">
        <f t="shared" si="4"/>
        <v>5.1180733259168665E-2</v>
      </c>
    </row>
    <row r="18" spans="2:8" ht="15.75" customHeight="1" x14ac:dyDescent="0.25">
      <c r="C18" s="29" t="s">
        <v>209</v>
      </c>
      <c r="D18" s="33" t="s">
        <v>210</v>
      </c>
      <c r="E18" s="28">
        <f>'P&amp;L'!D18</f>
        <v>473.25</v>
      </c>
      <c r="F18" s="28">
        <f>'P&amp;L'!E18</f>
        <v>314.12</v>
      </c>
      <c r="G18" s="28">
        <f>'P&amp;L'!F18</f>
        <v>260.33999999999997</v>
      </c>
      <c r="H18" s="28">
        <f>'P&amp;L'!G18</f>
        <v>248.9</v>
      </c>
    </row>
    <row r="19" spans="2:8" ht="15.75" customHeight="1" x14ac:dyDescent="0.25">
      <c r="B19" s="43"/>
      <c r="C19" s="5" t="s">
        <v>211</v>
      </c>
      <c r="D19" s="85" t="s">
        <v>212</v>
      </c>
      <c r="E19" s="44">
        <f t="shared" ref="E19:H19" si="5">E16-E18</f>
        <v>-3221.98</v>
      </c>
      <c r="F19" s="44">
        <f t="shared" si="5"/>
        <v>826.42</v>
      </c>
      <c r="G19" s="44">
        <f t="shared" si="5"/>
        <v>1000.8699999999999</v>
      </c>
      <c r="H19" s="44">
        <f t="shared" si="5"/>
        <v>973.94999999999993</v>
      </c>
    </row>
    <row r="20" spans="2:8" ht="15.75" customHeight="1" x14ac:dyDescent="0.25">
      <c r="C20" s="37" t="s">
        <v>213</v>
      </c>
      <c r="D20" s="33" t="s">
        <v>214</v>
      </c>
      <c r="E20" s="39">
        <f t="shared" ref="E20:H20" si="6">E19/E6</f>
        <v>-0.18614811403982626</v>
      </c>
      <c r="F20" s="39">
        <f t="shared" si="6"/>
        <v>3.8961694094928639E-2</v>
      </c>
      <c r="G20" s="39">
        <f t="shared" si="6"/>
        <v>4.2836403603005183E-2</v>
      </c>
      <c r="H20" s="39">
        <f t="shared" si="6"/>
        <v>4.0763360312194727E-2</v>
      </c>
    </row>
    <row r="21" spans="2:8" ht="15.75" customHeight="1" x14ac:dyDescent="0.25">
      <c r="C21" s="29" t="s">
        <v>215</v>
      </c>
      <c r="D21" s="33" t="s">
        <v>216</v>
      </c>
      <c r="E21" s="28">
        <f>'P&amp;L'!D17</f>
        <v>373.95</v>
      </c>
      <c r="F21" s="28">
        <f>'P&amp;L'!E17</f>
        <v>355.96</v>
      </c>
      <c r="G21" s="28">
        <f>'P&amp;L'!F17</f>
        <v>521.42999999999995</v>
      </c>
      <c r="H21" s="28">
        <f>'P&amp;L'!G17</f>
        <v>731.29</v>
      </c>
    </row>
    <row r="22" spans="2:8" ht="15.75" customHeight="1" x14ac:dyDescent="0.25">
      <c r="B22" s="43"/>
      <c r="C22" s="5" t="s">
        <v>217</v>
      </c>
      <c r="D22" s="85" t="s">
        <v>156</v>
      </c>
      <c r="E22" s="45">
        <f>'P&amp;L'!D22</f>
        <v>-3595.93</v>
      </c>
      <c r="F22" s="45">
        <f>'P&amp;L'!E22</f>
        <v>470.46</v>
      </c>
      <c r="G22" s="45">
        <f>'P&amp;L'!F22</f>
        <v>479.44</v>
      </c>
      <c r="H22" s="45">
        <f>'P&amp;L'!G22</f>
        <v>242.66</v>
      </c>
    </row>
    <row r="23" spans="2:8" ht="15.75" customHeight="1" x14ac:dyDescent="0.25">
      <c r="C23" s="37" t="s">
        <v>157</v>
      </c>
      <c r="D23" s="33" t="s">
        <v>158</v>
      </c>
      <c r="E23" s="39">
        <f t="shared" ref="E23:H23" si="7">E22/E6</f>
        <v>-0.20775286864574963</v>
      </c>
      <c r="F23" s="39">
        <f t="shared" si="7"/>
        <v>2.2179906831756406E-2</v>
      </c>
      <c r="G23" s="39">
        <f t="shared" si="7"/>
        <v>2.0519633262486445E-2</v>
      </c>
      <c r="H23" s="39">
        <f t="shared" si="7"/>
        <v>1.015620618446242E-2</v>
      </c>
    </row>
    <row r="24" spans="2:8" ht="15.75" customHeight="1" x14ac:dyDescent="0.25">
      <c r="C24" s="29" t="s">
        <v>218</v>
      </c>
      <c r="D24" s="33" t="s">
        <v>219</v>
      </c>
      <c r="E24" s="28">
        <f>'P&amp;L'!D26</f>
        <v>-896.23</v>
      </c>
      <c r="F24" s="28">
        <f>'P&amp;L'!E26</f>
        <v>25.75</v>
      </c>
      <c r="G24" s="28">
        <f>'P&amp;L'!F26</f>
        <v>2.0499999999999998</v>
      </c>
      <c r="H24" s="28">
        <f>'P&amp;L'!G26</f>
        <v>-39.56</v>
      </c>
    </row>
    <row r="25" spans="2:8" ht="15.75" customHeight="1" x14ac:dyDescent="0.25">
      <c r="C25" s="37" t="s">
        <v>220</v>
      </c>
      <c r="D25" s="33" t="s">
        <v>221</v>
      </c>
      <c r="E25" s="39">
        <f t="shared" ref="E25:H25" si="8">E24/E22</f>
        <v>0.24923455128436872</v>
      </c>
      <c r="F25" s="39">
        <f t="shared" si="8"/>
        <v>5.4733664923691708E-2</v>
      </c>
      <c r="G25" s="39">
        <f t="shared" si="8"/>
        <v>4.2758217920907723E-3</v>
      </c>
      <c r="H25" s="39">
        <f t="shared" si="8"/>
        <v>-0.16302645677079042</v>
      </c>
    </row>
    <row r="26" spans="2:8" ht="15.75" customHeight="1" x14ac:dyDescent="0.25">
      <c r="B26" s="46"/>
      <c r="C26" s="47" t="s">
        <v>222</v>
      </c>
      <c r="D26" s="86" t="s">
        <v>159</v>
      </c>
      <c r="E26" s="48">
        <f>'P&amp;L'!D27</f>
        <v>-2699.7</v>
      </c>
      <c r="F26" s="48">
        <f>'P&amp;L'!E27</f>
        <v>444.71</v>
      </c>
      <c r="G26" s="48">
        <f>'P&amp;L'!F27</f>
        <v>477.39</v>
      </c>
      <c r="H26" s="48">
        <f>'P&amp;L'!G27</f>
        <v>282.22000000000003</v>
      </c>
    </row>
    <row r="27" spans="2:8" ht="15.75" customHeight="1" x14ac:dyDescent="0.25">
      <c r="C27" s="37" t="s">
        <v>160</v>
      </c>
      <c r="D27" s="33" t="s">
        <v>161</v>
      </c>
      <c r="E27" s="39">
        <f t="shared" ref="E27:H27" si="9">E26/E6</f>
        <v>-0.15597367565078582</v>
      </c>
      <c r="F27" s="39">
        <f t="shared" si="9"/>
        <v>2.0965919243188351E-2</v>
      </c>
      <c r="G27" s="39">
        <f t="shared" si="9"/>
        <v>2.0431894967416993E-2</v>
      </c>
      <c r="H27" s="39">
        <f t="shared" si="9"/>
        <v>1.1811936492948918E-2</v>
      </c>
    </row>
    <row r="28" spans="2:8" ht="15.75" customHeight="1" x14ac:dyDescent="0.25">
      <c r="D28" s="33"/>
      <c r="E28" s="38"/>
      <c r="F28" s="38"/>
      <c r="G28" s="38"/>
      <c r="H28" s="38"/>
    </row>
    <row r="29" spans="2:8" ht="15.75" customHeight="1" x14ac:dyDescent="0.25">
      <c r="B29" s="6"/>
      <c r="C29" s="6" t="s">
        <v>223</v>
      </c>
      <c r="D29" s="87"/>
      <c r="E29" s="83"/>
      <c r="F29" s="83"/>
      <c r="G29" s="83"/>
      <c r="H29" s="83"/>
    </row>
    <row r="30" spans="2:8" ht="15.75" customHeight="1" x14ac:dyDescent="0.25">
      <c r="B30" s="36"/>
      <c r="C30" s="3" t="s">
        <v>165</v>
      </c>
      <c r="D30" s="84" t="s">
        <v>166</v>
      </c>
      <c r="E30" s="40">
        <f>'Balance Sheet'!D31</f>
        <v>55240.21</v>
      </c>
      <c r="F30" s="40">
        <f>'Balance Sheet'!E31</f>
        <v>56243.76</v>
      </c>
      <c r="G30" s="40">
        <f>'Balance Sheet'!F31</f>
        <v>59369.79</v>
      </c>
      <c r="H30" s="40">
        <f>'Balance Sheet'!G31</f>
        <v>59005.5</v>
      </c>
    </row>
    <row r="31" spans="2:8" ht="15.75" customHeight="1" x14ac:dyDescent="0.25">
      <c r="C31" s="37" t="s">
        <v>224</v>
      </c>
      <c r="D31" s="33" t="s">
        <v>192</v>
      </c>
      <c r="E31" s="38"/>
      <c r="F31" s="39">
        <f t="shared" ref="F31:H31" si="10">F30/E30-1</f>
        <v>1.8167020002277434E-2</v>
      </c>
      <c r="G31" s="39">
        <f t="shared" si="10"/>
        <v>5.5580032344921371E-2</v>
      </c>
      <c r="H31" s="39">
        <f t="shared" si="10"/>
        <v>-6.1359489396880518E-3</v>
      </c>
    </row>
    <row r="32" spans="2:8" ht="15.75" customHeight="1" x14ac:dyDescent="0.25">
      <c r="C32" s="29" t="s">
        <v>9</v>
      </c>
      <c r="D32" s="33" t="s">
        <v>225</v>
      </c>
      <c r="E32" s="28">
        <f>'Balance Sheet'!D19</f>
        <v>26896.85</v>
      </c>
      <c r="F32" s="28">
        <f>'Balance Sheet'!E19</f>
        <v>28381.78</v>
      </c>
      <c r="G32" s="28">
        <f>'Balance Sheet'!F19</f>
        <v>29287.51</v>
      </c>
      <c r="H32" s="28">
        <f>'Balance Sheet'!G19</f>
        <v>24459.81</v>
      </c>
    </row>
    <row r="33" spans="2:8" ht="15.75" customHeight="1" x14ac:dyDescent="0.25">
      <c r="C33" s="37" t="s">
        <v>226</v>
      </c>
      <c r="D33" s="33" t="s">
        <v>227</v>
      </c>
      <c r="E33" s="39">
        <f t="shared" ref="E33:H33" si="11">E32/E30</f>
        <v>0.48690709177246067</v>
      </c>
      <c r="F33" s="39">
        <f t="shared" si="11"/>
        <v>0.50462095706261456</v>
      </c>
      <c r="G33" s="39">
        <f t="shared" si="11"/>
        <v>0.49330661267287618</v>
      </c>
      <c r="H33" s="39">
        <f t="shared" si="11"/>
        <v>0.41453440780944151</v>
      </c>
    </row>
    <row r="34" spans="2:8" ht="15.75" customHeight="1" x14ac:dyDescent="0.25">
      <c r="C34" s="29" t="s">
        <v>22</v>
      </c>
      <c r="D34" s="33" t="s">
        <v>167</v>
      </c>
      <c r="E34" s="28">
        <f>'Balance Sheet'!D30</f>
        <v>28343.360000000001</v>
      </c>
      <c r="F34" s="28">
        <f>'Balance Sheet'!E30</f>
        <v>27861.98</v>
      </c>
      <c r="G34" s="28">
        <f>'Balance Sheet'!F30</f>
        <v>30082.28</v>
      </c>
      <c r="H34" s="28">
        <f>'Balance Sheet'!G30</f>
        <v>34545.69</v>
      </c>
    </row>
    <row r="35" spans="2:8" ht="15.75" customHeight="1" x14ac:dyDescent="0.25">
      <c r="C35" s="37" t="s">
        <v>226</v>
      </c>
      <c r="D35" s="33" t="s">
        <v>228</v>
      </c>
      <c r="E35" s="39">
        <f t="shared" ref="E35:H35" si="12">E34/E30</f>
        <v>0.51309290822753939</v>
      </c>
      <c r="F35" s="39">
        <f t="shared" si="12"/>
        <v>0.49537904293738538</v>
      </c>
      <c r="G35" s="39">
        <f t="shared" si="12"/>
        <v>0.50669338732712377</v>
      </c>
      <c r="H35" s="39">
        <f t="shared" si="12"/>
        <v>0.58546559219055849</v>
      </c>
    </row>
    <row r="36" spans="2:8" ht="15.75" customHeight="1" x14ac:dyDescent="0.25">
      <c r="C36" s="29" t="s">
        <v>229</v>
      </c>
      <c r="D36" s="33" t="s">
        <v>230</v>
      </c>
      <c r="E36" s="41">
        <f>'Balance Sheet'!D24+'Balance Sheet'!D25</f>
        <v>6701.4500000000007</v>
      </c>
      <c r="F36" s="41">
        <f>'Balance Sheet'!E24+'Balance Sheet'!E25</f>
        <v>7153.69</v>
      </c>
      <c r="G36" s="41">
        <f>'Balance Sheet'!F24+'Balance Sheet'!F25</f>
        <v>6642.58</v>
      </c>
      <c r="H36" s="41">
        <f>'Balance Sheet'!G24+'Balance Sheet'!G25</f>
        <v>6157.47</v>
      </c>
    </row>
    <row r="37" spans="2:8" ht="15.75" customHeight="1" x14ac:dyDescent="0.25">
      <c r="C37" s="29" t="s">
        <v>170</v>
      </c>
      <c r="D37" s="33" t="s">
        <v>171</v>
      </c>
      <c r="E37" s="41">
        <f>'Balance Sheet'!D39+'Balance Sheet'!D49+'Balance Sheet'!D50</f>
        <v>4950.8899999999994</v>
      </c>
      <c r="F37" s="41">
        <f>'Balance Sheet'!E39+'Balance Sheet'!E49+'Balance Sheet'!E50</f>
        <v>4829.93</v>
      </c>
      <c r="G37" s="41">
        <f>'Balance Sheet'!F39+'Balance Sheet'!F49+'Balance Sheet'!F50</f>
        <v>5453.51</v>
      </c>
      <c r="H37" s="41">
        <f>'Balance Sheet'!G39+'Balance Sheet'!G49+'Balance Sheet'!G50</f>
        <v>8856.4599999999991</v>
      </c>
    </row>
    <row r="38" spans="2:8" ht="15.75" customHeight="1" x14ac:dyDescent="0.25">
      <c r="B38" s="43"/>
      <c r="C38" s="5" t="s">
        <v>172</v>
      </c>
      <c r="D38" s="85" t="s">
        <v>173</v>
      </c>
      <c r="E38" s="44">
        <f t="shared" ref="E38:H38" si="13">E36-E37</f>
        <v>1750.5600000000013</v>
      </c>
      <c r="F38" s="44">
        <f t="shared" si="13"/>
        <v>2323.7599999999993</v>
      </c>
      <c r="G38" s="44">
        <f t="shared" si="13"/>
        <v>1189.0699999999997</v>
      </c>
      <c r="H38" s="44">
        <f t="shared" si="13"/>
        <v>-2698.9899999999989</v>
      </c>
    </row>
    <row r="39" spans="2:8" ht="15.75" customHeight="1" x14ac:dyDescent="0.25">
      <c r="C39" s="29" t="s">
        <v>58</v>
      </c>
      <c r="D39" s="33" t="s">
        <v>231</v>
      </c>
      <c r="E39" s="28">
        <f>'Balance Sheet'!D58</f>
        <v>29268.21</v>
      </c>
      <c r="F39" s="28">
        <f>'Balance Sheet'!E58</f>
        <v>29737.16</v>
      </c>
      <c r="G39" s="28">
        <f>'Balance Sheet'!F58</f>
        <v>32541.75</v>
      </c>
      <c r="H39" s="28">
        <f>'Balance Sheet'!G58</f>
        <v>34566.839999999997</v>
      </c>
    </row>
    <row r="40" spans="2:8" ht="15.75" customHeight="1" x14ac:dyDescent="0.25">
      <c r="B40" s="36"/>
      <c r="C40" s="3" t="s">
        <v>37</v>
      </c>
      <c r="D40" s="84" t="s">
        <v>174</v>
      </c>
      <c r="E40" s="40">
        <f>'Balance Sheet'!D36</f>
        <v>25972</v>
      </c>
      <c r="F40" s="40">
        <f>'Balance Sheet'!E36</f>
        <v>26506.6</v>
      </c>
      <c r="G40" s="40">
        <f>'Balance Sheet'!F36</f>
        <v>26828.03</v>
      </c>
      <c r="H40" s="40">
        <f>'Balance Sheet'!G36</f>
        <v>24438.65</v>
      </c>
    </row>
    <row r="41" spans="2:8" ht="15.75" customHeight="1" x14ac:dyDescent="0.25">
      <c r="C41" s="37" t="s">
        <v>232</v>
      </c>
      <c r="D41" s="33" t="s">
        <v>192</v>
      </c>
      <c r="E41" s="38"/>
      <c r="F41" s="39">
        <f t="shared" ref="F41:H41" si="14">F40/E40-1</f>
        <v>2.0583705529031215E-2</v>
      </c>
      <c r="G41" s="39">
        <f t="shared" si="14"/>
        <v>1.2126413798827507E-2</v>
      </c>
      <c r="H41" s="39">
        <f t="shared" si="14"/>
        <v>-8.906281974487118E-2</v>
      </c>
    </row>
    <row r="42" spans="2:8" ht="15.75" customHeight="1" x14ac:dyDescent="0.25">
      <c r="B42" s="43"/>
      <c r="C42" s="5" t="s">
        <v>233</v>
      </c>
      <c r="D42" s="85" t="s">
        <v>234</v>
      </c>
      <c r="E42" s="44">
        <f>E34-'Balance Sheet'!D57</f>
        <v>7986.1500000000015</v>
      </c>
      <c r="F42" s="44">
        <f>F34-'Balance Sheet'!E57</f>
        <v>6490.8299999999981</v>
      </c>
      <c r="G42" s="44">
        <f>G34-'Balance Sheet'!F57</f>
        <v>6730.84</v>
      </c>
      <c r="H42" s="44">
        <f>H34-'Balance Sheet'!G57</f>
        <v>9212.8900000000031</v>
      </c>
    </row>
    <row r="43" spans="2:8" ht="15.75" customHeight="1" x14ac:dyDescent="0.25">
      <c r="B43" s="49"/>
      <c r="C43" s="50" t="s">
        <v>235</v>
      </c>
      <c r="D43" s="88" t="s">
        <v>236</v>
      </c>
      <c r="E43" s="51">
        <f>E30-'Balance Sheet'!D57</f>
        <v>34883</v>
      </c>
      <c r="F43" s="51">
        <f>F30-'Balance Sheet'!E57</f>
        <v>34872.61</v>
      </c>
      <c r="G43" s="51">
        <f>G30-'Balance Sheet'!F57</f>
        <v>36018.350000000006</v>
      </c>
      <c r="H43" s="51">
        <f>H30-'Balance Sheet'!G57</f>
        <v>33672.699999999997</v>
      </c>
    </row>
    <row r="44" spans="2:8" ht="15.75" customHeight="1" x14ac:dyDescent="0.25">
      <c r="D44" s="33"/>
      <c r="E44" s="38"/>
      <c r="F44" s="38"/>
      <c r="G44" s="38"/>
      <c r="H44" s="38"/>
    </row>
    <row r="45" spans="2:8" ht="15.75" customHeight="1" x14ac:dyDescent="0.25">
      <c r="B45" s="6"/>
      <c r="C45" s="6" t="s">
        <v>237</v>
      </c>
      <c r="D45" s="87"/>
      <c r="E45" s="83"/>
      <c r="F45" s="83"/>
      <c r="G45" s="83"/>
      <c r="H45" s="83"/>
    </row>
    <row r="46" spans="2:8" ht="15.75" customHeight="1" x14ac:dyDescent="0.25">
      <c r="C46" s="29" t="s">
        <v>168</v>
      </c>
      <c r="D46" s="33" t="s">
        <v>238</v>
      </c>
      <c r="E46" s="42">
        <f>E34/'Balance Sheet'!D57</f>
        <v>1.3923008113587276</v>
      </c>
      <c r="F46" s="42">
        <f>F34/'Balance Sheet'!E57</f>
        <v>1.3037192663941808</v>
      </c>
      <c r="G46" s="42">
        <f>G34/'Balance Sheet'!F57</f>
        <v>1.2882408964928929</v>
      </c>
      <c r="H46" s="42">
        <f>H34/'Balance Sheet'!G57</f>
        <v>1.3636743668287754</v>
      </c>
    </row>
    <row r="47" spans="2:8" ht="15.75" customHeight="1" x14ac:dyDescent="0.25">
      <c r="C47" s="29" t="s">
        <v>239</v>
      </c>
      <c r="D47" s="33" t="s">
        <v>240</v>
      </c>
      <c r="E47" s="42">
        <f>(E34-'Balance Sheet'!D21)/'Balance Sheet'!D57</f>
        <v>1.0388903980457047</v>
      </c>
      <c r="F47" s="42">
        <f>(F34-'Balance Sheet'!E21)/'Balance Sheet'!E57</f>
        <v>0.99675356730919951</v>
      </c>
      <c r="G47" s="42">
        <f>(G34-'Balance Sheet'!F21)/'Balance Sheet'!F57</f>
        <v>0.9989268327777644</v>
      </c>
      <c r="H47" s="42">
        <f>(H34-'Balance Sheet'!G21)/'Balance Sheet'!G57</f>
        <v>1.0786458662287628</v>
      </c>
    </row>
    <row r="48" spans="2:8" ht="15.75" customHeight="1" x14ac:dyDescent="0.25">
      <c r="C48" s="29" t="s">
        <v>185</v>
      </c>
      <c r="D48" s="33" t="s">
        <v>241</v>
      </c>
      <c r="E48" s="42">
        <f>E36/'Balance Sheet'!D57</f>
        <v>0.32919294932851806</v>
      </c>
      <c r="F48" s="42">
        <f>F36/'Balance Sheet'!E57</f>
        <v>0.33473584715843552</v>
      </c>
      <c r="G48" s="42">
        <f>G36/'Balance Sheet'!F57</f>
        <v>0.28446125806374256</v>
      </c>
      <c r="H48" s="42">
        <f>H36/'Balance Sheet'!G57</f>
        <v>0.24306314343459864</v>
      </c>
    </row>
    <row r="49" spans="2:8" ht="15.75" customHeight="1" x14ac:dyDescent="0.25">
      <c r="C49" s="29" t="s">
        <v>242</v>
      </c>
      <c r="D49" s="33" t="s">
        <v>243</v>
      </c>
      <c r="E49" s="42">
        <f>'Cash Flow'!D32/'Balance Sheet'!D57</f>
        <v>2.7506225067187501E-2</v>
      </c>
      <c r="F49" s="42">
        <f>'Cash Flow'!E32/'Balance Sheet'!E57</f>
        <v>3.0894453503905964E-2</v>
      </c>
      <c r="G49" s="42">
        <f>'Cash Flow'!F32/'Balance Sheet'!F57</f>
        <v>-3.1754786856827671E-2</v>
      </c>
      <c r="H49" s="42">
        <f>'Cash Flow'!G32/'Balance Sheet'!G57</f>
        <v>-0.14656492768268806</v>
      </c>
    </row>
    <row r="50" spans="2:8" ht="15.75" customHeight="1" x14ac:dyDescent="0.25">
      <c r="D50" s="33"/>
      <c r="E50" s="38"/>
      <c r="F50" s="38"/>
      <c r="G50" s="38"/>
      <c r="H50" s="38"/>
    </row>
    <row r="51" spans="2:8" ht="15.75" customHeight="1" x14ac:dyDescent="0.25">
      <c r="B51" s="6"/>
      <c r="C51" s="6" t="s">
        <v>244</v>
      </c>
      <c r="D51" s="87"/>
      <c r="E51" s="83"/>
      <c r="F51" s="83"/>
      <c r="G51" s="83"/>
      <c r="H51" s="83"/>
    </row>
    <row r="52" spans="2:8" ht="15.75" customHeight="1" x14ac:dyDescent="0.25">
      <c r="C52" s="29" t="s">
        <v>177</v>
      </c>
      <c r="D52" s="33" t="s">
        <v>178</v>
      </c>
      <c r="E52" s="42">
        <f t="shared" ref="E52:H52" si="15">E37/E40</f>
        <v>0.1906241336824272</v>
      </c>
      <c r="F52" s="42">
        <f t="shared" si="15"/>
        <v>0.18221612730414313</v>
      </c>
      <c r="G52" s="42">
        <f t="shared" si="15"/>
        <v>0.20327657304692145</v>
      </c>
      <c r="H52" s="42">
        <f t="shared" si="15"/>
        <v>0.36239563150992377</v>
      </c>
    </row>
    <row r="53" spans="2:8" ht="15.75" customHeight="1" x14ac:dyDescent="0.25">
      <c r="C53" s="29" t="s">
        <v>245</v>
      </c>
      <c r="D53" s="33" t="s">
        <v>246</v>
      </c>
      <c r="E53" s="39">
        <f t="shared" ref="E53:H53" si="16">E37/E30</f>
        <v>8.9624749797294387E-2</v>
      </c>
      <c r="F53" s="39">
        <f t="shared" si="16"/>
        <v>8.587494861652209E-2</v>
      </c>
      <c r="G53" s="39">
        <f t="shared" si="16"/>
        <v>9.1856649652963238E-2</v>
      </c>
      <c r="H53" s="39">
        <f t="shared" si="16"/>
        <v>0.15009549957207377</v>
      </c>
    </row>
    <row r="54" spans="2:8" ht="15.75" customHeight="1" x14ac:dyDescent="0.25">
      <c r="C54" s="29" t="s">
        <v>247</v>
      </c>
      <c r="D54" s="33" t="s">
        <v>248</v>
      </c>
      <c r="E54" s="42">
        <f t="shared" ref="E54:H54" si="17">E30/E40</f>
        <v>2.1269139842907747</v>
      </c>
      <c r="F54" s="42">
        <f t="shared" si="17"/>
        <v>2.1218775701146133</v>
      </c>
      <c r="G54" s="42">
        <f t="shared" si="17"/>
        <v>2.2129761298164645</v>
      </c>
      <c r="H54" s="42">
        <f t="shared" si="17"/>
        <v>2.4144336941688676</v>
      </c>
    </row>
    <row r="55" spans="2:8" ht="15.75" customHeight="1" x14ac:dyDescent="0.25">
      <c r="C55" s="29" t="s">
        <v>249</v>
      </c>
      <c r="D55" s="33" t="s">
        <v>250</v>
      </c>
      <c r="E55" s="42">
        <f t="shared" ref="E55:H55" si="18">E19/E21</f>
        <v>-8.6160716673352056</v>
      </c>
      <c r="F55" s="42">
        <f t="shared" si="18"/>
        <v>2.321665355657939</v>
      </c>
      <c r="G55" s="42">
        <f t="shared" si="18"/>
        <v>1.9194714535028672</v>
      </c>
      <c r="H55" s="42">
        <f t="shared" si="18"/>
        <v>1.3318245839543819</v>
      </c>
    </row>
    <row r="56" spans="2:8" ht="15.75" customHeight="1" x14ac:dyDescent="0.25">
      <c r="C56" s="29" t="s">
        <v>251</v>
      </c>
      <c r="D56" s="33" t="s">
        <v>252</v>
      </c>
      <c r="E56" s="42">
        <f t="shared" ref="E56:H56" si="19">E37/E16</f>
        <v>-1.8011554426953535</v>
      </c>
      <c r="F56" s="42">
        <f t="shared" si="19"/>
        <v>4.23477475581742</v>
      </c>
      <c r="G56" s="42">
        <f t="shared" si="19"/>
        <v>4.3240300980804154</v>
      </c>
      <c r="H56" s="42">
        <f t="shared" si="19"/>
        <v>7.2424745471644112</v>
      </c>
    </row>
    <row r="58" spans="2:8" ht="15.75" customHeight="1" x14ac:dyDescent="0.25">
      <c r="B58" s="6"/>
      <c r="C58" s="6" t="s">
        <v>253</v>
      </c>
      <c r="D58" s="6"/>
      <c r="E58" s="6"/>
      <c r="F58" s="6"/>
      <c r="G58" s="6"/>
      <c r="H58" s="6"/>
    </row>
    <row r="59" spans="2:8" ht="15.75" customHeight="1" x14ac:dyDescent="0.25">
      <c r="C59" s="29" t="s">
        <v>24</v>
      </c>
      <c r="D59" s="33" t="s">
        <v>179</v>
      </c>
      <c r="E59" s="35">
        <f>'Balance Sheet'!D23</f>
        <v>4035.07</v>
      </c>
      <c r="F59" s="35">
        <f>'Balance Sheet'!E23</f>
        <v>3024.75</v>
      </c>
      <c r="G59" s="35">
        <f>'Balance Sheet'!F23</f>
        <v>3128.35</v>
      </c>
      <c r="H59" s="35">
        <f>'Balance Sheet'!G23</f>
        <v>4785.38</v>
      </c>
    </row>
    <row r="60" spans="2:8" ht="15.75" customHeight="1" x14ac:dyDescent="0.25">
      <c r="C60" s="29" t="s">
        <v>23</v>
      </c>
      <c r="D60" s="33" t="s">
        <v>180</v>
      </c>
      <c r="E60" s="35">
        <f>'Balance Sheet'!D21</f>
        <v>7194.45</v>
      </c>
      <c r="F60" s="35">
        <f>'Balance Sheet'!E21</f>
        <v>6560.21</v>
      </c>
      <c r="G60" s="35">
        <f>'Balance Sheet'!F21</f>
        <v>6755.9</v>
      </c>
      <c r="H60" s="35">
        <f>'Balance Sheet'!G21</f>
        <v>7220.57</v>
      </c>
    </row>
    <row r="61" spans="2:8" ht="15.75" customHeight="1" x14ac:dyDescent="0.25">
      <c r="C61" s="29" t="s">
        <v>254</v>
      </c>
      <c r="D61" s="33" t="s">
        <v>255</v>
      </c>
      <c r="E61" s="35">
        <f>'Balance Sheet'!D51+'Balance Sheet'!D52</f>
        <v>6680.83</v>
      </c>
      <c r="F61" s="35">
        <f>'Balance Sheet'!E51+'Balance Sheet'!E52</f>
        <v>7749.59</v>
      </c>
      <c r="G61" s="35">
        <f>'Balance Sheet'!F51+'Balance Sheet'!F52</f>
        <v>9895.83</v>
      </c>
      <c r="H61" s="35">
        <f>'Balance Sheet'!G51+'Balance Sheet'!G52</f>
        <v>8696.24</v>
      </c>
    </row>
    <row r="62" spans="2:8" ht="15.75" customHeight="1" x14ac:dyDescent="0.25">
      <c r="C62" s="29" t="s">
        <v>256</v>
      </c>
      <c r="D62" s="33" t="s">
        <v>257</v>
      </c>
      <c r="E62" s="52">
        <f t="shared" ref="E62:H62" si="20">E59/E6*365</f>
        <v>85.090237909396961</v>
      </c>
      <c r="F62" s="52">
        <f t="shared" si="20"/>
        <v>52.049835722728055</v>
      </c>
      <c r="G62" s="52">
        <f t="shared" si="20"/>
        <v>48.870134055555035</v>
      </c>
      <c r="H62" s="52">
        <f t="shared" si="20"/>
        <v>73.104247391889942</v>
      </c>
    </row>
    <row r="63" spans="2:8" ht="15.75" customHeight="1" x14ac:dyDescent="0.25">
      <c r="C63" s="29" t="s">
        <v>258</v>
      </c>
      <c r="D63" s="33" t="s">
        <v>259</v>
      </c>
      <c r="E63" s="52">
        <f t="shared" ref="E63:H63" si="21">E60/E6*365</f>
        <v>151.71421118524859</v>
      </c>
      <c r="F63" s="52">
        <f t="shared" si="21"/>
        <v>112.88795861033073</v>
      </c>
      <c r="G63" s="52">
        <f t="shared" si="21"/>
        <v>105.53861897355611</v>
      </c>
      <c r="H63" s="52">
        <f t="shared" si="21"/>
        <v>110.30562579992784</v>
      </c>
    </row>
    <row r="64" spans="2:8" ht="15.75" customHeight="1" x14ac:dyDescent="0.25">
      <c r="C64" s="29" t="s">
        <v>260</v>
      </c>
      <c r="D64" s="33" t="s">
        <v>261</v>
      </c>
      <c r="E64" s="52">
        <f t="shared" ref="E64:H64" si="22">E61/E6*365</f>
        <v>140.88316042404134</v>
      </c>
      <c r="F64" s="52">
        <f t="shared" si="22"/>
        <v>133.35478516191296</v>
      </c>
      <c r="G64" s="52">
        <f t="shared" si="22"/>
        <v>154.58965227387702</v>
      </c>
      <c r="H64" s="52">
        <f t="shared" si="22"/>
        <v>132.84881876449705</v>
      </c>
    </row>
    <row r="65" spans="2:8" ht="15.75" customHeight="1" x14ac:dyDescent="0.25">
      <c r="B65" s="43"/>
      <c r="C65" s="5" t="s">
        <v>262</v>
      </c>
      <c r="D65" s="85" t="s">
        <v>263</v>
      </c>
      <c r="E65" s="55">
        <f t="shared" ref="E65:H65" si="23">E62+E63-E64</f>
        <v>95.921288670604213</v>
      </c>
      <c r="F65" s="55">
        <f t="shared" si="23"/>
        <v>31.583009171145818</v>
      </c>
      <c r="G65" s="55">
        <f t="shared" si="23"/>
        <v>-0.18089924476586816</v>
      </c>
      <c r="H65" s="55">
        <f t="shared" si="23"/>
        <v>50.561054427320727</v>
      </c>
    </row>
    <row r="66" spans="2:8" ht="15.75" customHeight="1" x14ac:dyDescent="0.25">
      <c r="C66" s="29" t="s">
        <v>264</v>
      </c>
      <c r="D66" s="33" t="s">
        <v>265</v>
      </c>
      <c r="E66" s="32">
        <f>E6/E30</f>
        <v>0.31333497827035778</v>
      </c>
      <c r="F66" s="32">
        <f t="shared" ref="F66:H66" si="24">F6/((E30+F30)/2)</f>
        <v>0.38052268859819038</v>
      </c>
      <c r="G66" s="32">
        <f t="shared" si="24"/>
        <v>0.40419033928116554</v>
      </c>
      <c r="H66" s="32">
        <f t="shared" si="24"/>
        <v>0.40367850418782497</v>
      </c>
    </row>
    <row r="67" spans="2:8" ht="15.75" customHeight="1" x14ac:dyDescent="0.25">
      <c r="C67" s="29" t="s">
        <v>266</v>
      </c>
      <c r="D67" s="33" t="s">
        <v>267</v>
      </c>
      <c r="E67" s="32">
        <f>E6/'Balance Sheet'!D7</f>
        <v>7.1259088176930225</v>
      </c>
      <c r="F67" s="32">
        <f>F6/'Balance Sheet'!E7</f>
        <v>9.0787685011599333</v>
      </c>
      <c r="G67" s="32">
        <f>G6/'Balance Sheet'!F7</f>
        <v>9.7000672550794196</v>
      </c>
      <c r="H67" s="32">
        <f>H6/'Balance Sheet'!G7</f>
        <v>9.5164197889823114</v>
      </c>
    </row>
    <row r="68" spans="2:8" ht="15.75" customHeight="1" x14ac:dyDescent="0.25">
      <c r="C68" s="29" t="s">
        <v>268</v>
      </c>
      <c r="D68" s="33" t="s">
        <v>269</v>
      </c>
      <c r="E68" s="32">
        <f t="shared" ref="E68:H68" si="25">E6/E42</f>
        <v>2.1673384546996983</v>
      </c>
      <c r="F68" s="32">
        <f t="shared" si="25"/>
        <v>3.2678548043932758</v>
      </c>
      <c r="G68" s="32">
        <f t="shared" si="25"/>
        <v>3.4713260157721768</v>
      </c>
      <c r="H68" s="32">
        <f t="shared" si="25"/>
        <v>2.5934077146259198</v>
      </c>
    </row>
    <row r="69" spans="2:8" ht="15.75" customHeight="1" x14ac:dyDescent="0.25">
      <c r="C69" s="29" t="s">
        <v>270</v>
      </c>
      <c r="D69" s="33" t="s">
        <v>270</v>
      </c>
      <c r="E69" s="31">
        <f t="shared" ref="E69:H69" si="26">E42/E6</f>
        <v>0.46139540311831817</v>
      </c>
      <c r="F69" s="31">
        <f t="shared" si="26"/>
        <v>0.30601114794194917</v>
      </c>
      <c r="G69" s="31">
        <f t="shared" si="26"/>
        <v>0.28807435413915039</v>
      </c>
      <c r="H69" s="31">
        <f t="shared" si="26"/>
        <v>0.38559305363377572</v>
      </c>
    </row>
    <row r="70" spans="2:8" ht="15.75" customHeight="1" x14ac:dyDescent="0.25">
      <c r="D70" s="33"/>
    </row>
    <row r="71" spans="2:8" ht="15.75" customHeight="1" x14ac:dyDescent="0.25">
      <c r="B71" s="6"/>
      <c r="C71" s="6" t="s">
        <v>271</v>
      </c>
      <c r="D71" s="87"/>
      <c r="E71" s="6"/>
      <c r="F71" s="6"/>
      <c r="G71" s="6"/>
      <c r="H71" s="6"/>
    </row>
    <row r="72" spans="2:8" ht="15.75" customHeight="1" x14ac:dyDescent="0.25">
      <c r="C72" s="29" t="s">
        <v>272</v>
      </c>
      <c r="D72" s="33" t="s">
        <v>273</v>
      </c>
      <c r="E72" s="30">
        <f>E30</f>
        <v>55240.21</v>
      </c>
      <c r="F72" s="30">
        <f t="shared" ref="F72:H72" si="27">(E30+F30)/2</f>
        <v>55741.985000000001</v>
      </c>
      <c r="G72" s="30">
        <f t="shared" si="27"/>
        <v>57806.775000000001</v>
      </c>
      <c r="H72" s="30">
        <f t="shared" si="27"/>
        <v>59187.645000000004</v>
      </c>
    </row>
    <row r="73" spans="2:8" ht="15.75" customHeight="1" x14ac:dyDescent="0.25">
      <c r="C73" s="29" t="s">
        <v>274</v>
      </c>
      <c r="D73" s="33" t="s">
        <v>273</v>
      </c>
      <c r="E73" s="30">
        <f>E40</f>
        <v>25972</v>
      </c>
      <c r="F73" s="30">
        <f t="shared" ref="F73:H73" si="28">(E40+F40)/2</f>
        <v>26239.3</v>
      </c>
      <c r="G73" s="30">
        <f t="shared" si="28"/>
        <v>26667.314999999999</v>
      </c>
      <c r="H73" s="30">
        <f t="shared" si="28"/>
        <v>25633.34</v>
      </c>
    </row>
    <row r="74" spans="2:8" ht="15.75" customHeight="1" x14ac:dyDescent="0.25">
      <c r="C74" s="29" t="s">
        <v>275</v>
      </c>
      <c r="D74" s="33" t="s">
        <v>273</v>
      </c>
      <c r="E74" s="30">
        <f>E43</f>
        <v>34883</v>
      </c>
      <c r="F74" s="30">
        <f t="shared" ref="F74:H74" si="29">(E43+F43)/2</f>
        <v>34877.805</v>
      </c>
      <c r="G74" s="30">
        <f t="shared" si="29"/>
        <v>35445.480000000003</v>
      </c>
      <c r="H74" s="30">
        <f t="shared" si="29"/>
        <v>34845.525000000001</v>
      </c>
    </row>
    <row r="75" spans="2:8" ht="15.75" customHeight="1" x14ac:dyDescent="0.25">
      <c r="C75" s="29" t="s">
        <v>276</v>
      </c>
      <c r="D75" s="33" t="s">
        <v>277</v>
      </c>
      <c r="E75" s="31">
        <f t="shared" ref="E75:H75" si="30">E26/E72</f>
        <v>-4.8872008270786804E-2</v>
      </c>
      <c r="F75" s="31">
        <f t="shared" si="30"/>
        <v>7.9780079593505682E-3</v>
      </c>
      <c r="G75" s="31">
        <f t="shared" si="30"/>
        <v>8.2583745590374142E-3</v>
      </c>
      <c r="H75" s="31">
        <f t="shared" si="30"/>
        <v>4.7682248550352021E-3</v>
      </c>
    </row>
    <row r="76" spans="2:8" ht="15.75" customHeight="1" x14ac:dyDescent="0.25">
      <c r="C76" s="29" t="s">
        <v>278</v>
      </c>
      <c r="D76" s="33" t="s">
        <v>279</v>
      </c>
      <c r="E76" s="31">
        <f t="shared" ref="E76:H76" si="31">E26/E73</f>
        <v>-0.10394655783151086</v>
      </c>
      <c r="F76" s="31">
        <f t="shared" si="31"/>
        <v>1.6948241759498158E-2</v>
      </c>
      <c r="G76" s="31">
        <f t="shared" si="31"/>
        <v>1.7901689765167584E-2</v>
      </c>
      <c r="H76" s="31">
        <f t="shared" si="31"/>
        <v>1.1009880101461613E-2</v>
      </c>
    </row>
    <row r="77" spans="2:8" ht="15.75" customHeight="1" x14ac:dyDescent="0.25">
      <c r="C77" s="29" t="s">
        <v>280</v>
      </c>
      <c r="D77" s="33" t="s">
        <v>281</v>
      </c>
      <c r="E77" s="31">
        <f t="shared" ref="E77:H77" si="32">E19/E74</f>
        <v>-9.2365335550268046E-2</v>
      </c>
      <c r="F77" s="31">
        <f t="shared" si="32"/>
        <v>2.3694725055088756E-2</v>
      </c>
      <c r="G77" s="31">
        <f t="shared" si="32"/>
        <v>2.8236886621368924E-2</v>
      </c>
      <c r="H77" s="31">
        <f t="shared" si="32"/>
        <v>2.7950504404798029E-2</v>
      </c>
    </row>
    <row r="78" spans="2:8" ht="15.75" customHeight="1" x14ac:dyDescent="0.25">
      <c r="C78" s="29" t="s">
        <v>282</v>
      </c>
      <c r="D78" s="33" t="s">
        <v>214</v>
      </c>
      <c r="E78" s="31">
        <f t="shared" ref="E78:H78" si="33">E19/E6</f>
        <v>-0.18614811403982626</v>
      </c>
      <c r="F78" s="31">
        <f t="shared" si="33"/>
        <v>3.8961694094928639E-2</v>
      </c>
      <c r="G78" s="31">
        <f t="shared" si="33"/>
        <v>4.2836403603005183E-2</v>
      </c>
      <c r="H78" s="31">
        <f t="shared" si="33"/>
        <v>4.0763360312194727E-2</v>
      </c>
    </row>
    <row r="79" spans="2:8" ht="15.75" customHeight="1" x14ac:dyDescent="0.25">
      <c r="D79" s="33"/>
    </row>
    <row r="80" spans="2:8" ht="15.75" customHeight="1" x14ac:dyDescent="0.25">
      <c r="B80" s="6"/>
      <c r="C80" s="6" t="s">
        <v>283</v>
      </c>
      <c r="D80" s="87"/>
      <c r="E80" s="6"/>
      <c r="F80" s="6"/>
      <c r="G80" s="6"/>
      <c r="H80" s="6"/>
    </row>
    <row r="81" spans="2:8" ht="15.75" customHeight="1" x14ac:dyDescent="0.25">
      <c r="C81" s="29" t="s">
        <v>284</v>
      </c>
      <c r="D81" s="33" t="s">
        <v>162</v>
      </c>
      <c r="E81" s="35">
        <f>'Cash Flow'!D32</f>
        <v>559.95000000000005</v>
      </c>
      <c r="F81" s="35">
        <f>'Cash Flow'!E32</f>
        <v>660.25</v>
      </c>
      <c r="G81" s="35">
        <f>'Cash Flow'!F32</f>
        <v>-741.52</v>
      </c>
      <c r="H81" s="35">
        <f>'Cash Flow'!G32</f>
        <v>-3712.9</v>
      </c>
    </row>
    <row r="82" spans="2:8" ht="15.75" customHeight="1" x14ac:dyDescent="0.25">
      <c r="C82" s="29" t="s">
        <v>163</v>
      </c>
      <c r="D82" s="33" t="s">
        <v>163</v>
      </c>
      <c r="E82" s="31">
        <f t="shared" ref="E82:H82" si="34">E81/E6</f>
        <v>3.2350801822668272E-2</v>
      </c>
      <c r="F82" s="31">
        <f t="shared" si="34"/>
        <v>3.1127584673866358E-2</v>
      </c>
      <c r="G82" s="31">
        <f t="shared" si="34"/>
        <v>-3.1736439297511569E-2</v>
      </c>
      <c r="H82" s="31">
        <f t="shared" si="34"/>
        <v>-0.15539840905913838</v>
      </c>
    </row>
    <row r="83" spans="2:8" ht="15.75" customHeight="1" x14ac:dyDescent="0.25">
      <c r="C83" s="29" t="s">
        <v>285</v>
      </c>
      <c r="D83" s="33" t="s">
        <v>286</v>
      </c>
      <c r="E83" s="32">
        <f t="shared" ref="E83:H83" si="35">E81/E26</f>
        <v>-0.20741193465940663</v>
      </c>
      <c r="F83" s="32">
        <f t="shared" si="35"/>
        <v>1.4846754064446495</v>
      </c>
      <c r="G83" s="32">
        <f t="shared" si="35"/>
        <v>-1.5532792894698255</v>
      </c>
      <c r="H83" s="32">
        <f t="shared" si="35"/>
        <v>-13.15604847282262</v>
      </c>
    </row>
    <row r="84" spans="2:8" ht="15.75" customHeight="1" x14ac:dyDescent="0.25">
      <c r="C84" s="29" t="s">
        <v>287</v>
      </c>
      <c r="D84" s="33" t="s">
        <v>288</v>
      </c>
      <c r="E84" s="30">
        <f>-'Cash Flow'!D40</f>
        <v>250.35</v>
      </c>
      <c r="F84" s="30">
        <f>-'Cash Flow'!E40</f>
        <v>169.38</v>
      </c>
      <c r="G84" s="30">
        <f>-'Cash Flow'!F40</f>
        <v>188.4</v>
      </c>
      <c r="H84" s="30">
        <f>-'Cash Flow'!G40</f>
        <v>232.5</v>
      </c>
    </row>
    <row r="85" spans="2:8" ht="15.75" customHeight="1" x14ac:dyDescent="0.25">
      <c r="B85" s="43"/>
      <c r="C85" s="5" t="s">
        <v>289</v>
      </c>
      <c r="D85" s="85" t="s">
        <v>290</v>
      </c>
      <c r="E85" s="56">
        <f t="shared" ref="E85:H85" si="36">E81-E84</f>
        <v>309.60000000000002</v>
      </c>
      <c r="F85" s="56">
        <f t="shared" si="36"/>
        <v>490.87</v>
      </c>
      <c r="G85" s="56">
        <f t="shared" si="36"/>
        <v>-929.92</v>
      </c>
      <c r="H85" s="56">
        <f t="shared" si="36"/>
        <v>-3945.4</v>
      </c>
    </row>
    <row r="86" spans="2:8" ht="15.75" customHeight="1" x14ac:dyDescent="0.25">
      <c r="C86" s="29" t="s">
        <v>164</v>
      </c>
      <c r="D86" s="33" t="s">
        <v>164</v>
      </c>
      <c r="E86" s="31">
        <f t="shared" ref="E86:H86" si="37">E85/E6</f>
        <v>1.7886968915614067E-2</v>
      </c>
      <c r="F86" s="31">
        <f t="shared" si="37"/>
        <v>2.3142139324287436E-2</v>
      </c>
      <c r="G86" s="31">
        <f t="shared" si="37"/>
        <v>-3.9799802610235677E-2</v>
      </c>
      <c r="H86" s="31">
        <f t="shared" si="37"/>
        <v>-0.16512938218156281</v>
      </c>
    </row>
    <row r="87" spans="2:8" ht="15.75" customHeight="1" x14ac:dyDescent="0.25">
      <c r="C87" s="29" t="s">
        <v>183</v>
      </c>
      <c r="D87" s="33" t="s">
        <v>184</v>
      </c>
      <c r="E87" s="35">
        <f>'Cash Flow'!D41</f>
        <v>-42.5</v>
      </c>
      <c r="F87" s="35">
        <f>'Cash Flow'!E41</f>
        <v>-1125.32</v>
      </c>
      <c r="G87" s="35">
        <f>'Cash Flow'!F41</f>
        <v>1480.46</v>
      </c>
      <c r="H87" s="35">
        <f>'Cash Flow'!G41</f>
        <v>1330.86</v>
      </c>
    </row>
    <row r="88" spans="2:8" ht="15.75" customHeight="1" x14ac:dyDescent="0.25">
      <c r="C88" s="29" t="s">
        <v>181</v>
      </c>
      <c r="D88" s="33" t="s">
        <v>182</v>
      </c>
      <c r="E88" s="35">
        <f>'Cash Flow'!D48</f>
        <v>-394.15</v>
      </c>
      <c r="F88" s="35">
        <f>'Cash Flow'!E48</f>
        <v>-329.49</v>
      </c>
      <c r="G88" s="35">
        <f>'Cash Flow'!F48</f>
        <v>88.96</v>
      </c>
      <c r="H88" s="35">
        <f>'Cash Flow'!G48</f>
        <v>2655.74</v>
      </c>
    </row>
    <row r="89" spans="2:8" ht="15.75" customHeight="1" x14ac:dyDescent="0.25">
      <c r="B89" s="43"/>
      <c r="C89" s="5" t="s">
        <v>291</v>
      </c>
      <c r="D89" s="85" t="s">
        <v>292</v>
      </c>
      <c r="E89" s="57">
        <f>'Cash Flow'!D49</f>
        <v>123.3</v>
      </c>
      <c r="F89" s="57">
        <f>'Cash Flow'!E49</f>
        <v>-794.56</v>
      </c>
      <c r="G89" s="57">
        <f>'Cash Flow'!F49</f>
        <v>827.9</v>
      </c>
      <c r="H89" s="57">
        <f>'Cash Flow'!G49</f>
        <v>273.7</v>
      </c>
    </row>
    <row r="90" spans="2:8" ht="15.75" customHeight="1" x14ac:dyDescent="0.25">
      <c r="C90" s="29" t="s">
        <v>293</v>
      </c>
      <c r="D90" s="33" t="s">
        <v>293</v>
      </c>
      <c r="E90" s="31">
        <f t="shared" ref="E90:H90" si="38">E84/E6</f>
        <v>1.4463832907054204E-2</v>
      </c>
      <c r="F90" s="31">
        <f t="shared" si="38"/>
        <v>7.9854453495789221E-3</v>
      </c>
      <c r="G90" s="31">
        <f t="shared" si="38"/>
        <v>8.0633633127241075E-3</v>
      </c>
      <c r="H90" s="31">
        <f t="shared" si="38"/>
        <v>9.7309731224244321E-3</v>
      </c>
    </row>
    <row r="91" spans="2:8" ht="15.75" customHeight="1" x14ac:dyDescent="0.25">
      <c r="C91" s="29" t="s">
        <v>294</v>
      </c>
      <c r="D91" s="33" t="s">
        <v>295</v>
      </c>
      <c r="E91" s="32">
        <f t="shared" ref="E91:H91" si="39">E84/E18</f>
        <v>0.52900158478605386</v>
      </c>
      <c r="F91" s="32">
        <f t="shared" si="39"/>
        <v>0.53922067999490642</v>
      </c>
      <c r="G91" s="32">
        <f t="shared" si="39"/>
        <v>0.72366904816778066</v>
      </c>
      <c r="H91" s="32">
        <f t="shared" si="39"/>
        <v>0.93411008437123344</v>
      </c>
    </row>
    <row r="92" spans="2:8" ht="15.75" customHeight="1" x14ac:dyDescent="0.25">
      <c r="D92" s="33"/>
    </row>
    <row r="93" spans="2:8" ht="15.75" customHeight="1" x14ac:dyDescent="0.25">
      <c r="B93" s="6"/>
      <c r="C93" s="6" t="s">
        <v>296</v>
      </c>
      <c r="D93" s="87"/>
      <c r="E93" s="6"/>
      <c r="F93" s="6"/>
      <c r="G93" s="6"/>
      <c r="H93" s="6"/>
    </row>
    <row r="94" spans="2:8" ht="15.75" customHeight="1" x14ac:dyDescent="0.25">
      <c r="C94" s="29" t="s">
        <v>153</v>
      </c>
      <c r="D94" s="33" t="s">
        <v>297</v>
      </c>
      <c r="F94" s="31">
        <f t="shared" ref="F94:H94" si="40">F6/E6-1</f>
        <v>0.22545900354099602</v>
      </c>
      <c r="G94" s="31">
        <f t="shared" si="40"/>
        <v>0.10154357932572067</v>
      </c>
      <c r="H94" s="31">
        <f t="shared" si="40"/>
        <v>2.2591113009492014E-2</v>
      </c>
    </row>
    <row r="95" spans="2:8" ht="15.75" customHeight="1" x14ac:dyDescent="0.25">
      <c r="C95" s="29" t="s">
        <v>298</v>
      </c>
      <c r="D95" s="33" t="s">
        <v>299</v>
      </c>
      <c r="F95" s="31">
        <f t="shared" ref="F95:H95" si="41">F12/E12-1</f>
        <v>0.18006237518526813</v>
      </c>
      <c r="G95" s="31">
        <f t="shared" si="41"/>
        <v>0.10081732829483037</v>
      </c>
      <c r="H95" s="31">
        <f t="shared" si="41"/>
        <v>3.036428650297518E-3</v>
      </c>
    </row>
    <row r="96" spans="2:8" ht="15.75" customHeight="1" x14ac:dyDescent="0.25">
      <c r="C96" s="29" t="s">
        <v>300</v>
      </c>
      <c r="D96" s="33" t="s">
        <v>301</v>
      </c>
      <c r="F96" s="31">
        <f t="shared" ref="F96:H96" si="42">F16/E16-1</f>
        <v>-1.4149334419895734</v>
      </c>
      <c r="G96" s="31">
        <f t="shared" si="42"/>
        <v>0.1058007610430145</v>
      </c>
      <c r="H96" s="31">
        <f t="shared" si="42"/>
        <v>-3.041523616209818E-2</v>
      </c>
    </row>
    <row r="97" spans="2:8" ht="15.75" customHeight="1" x14ac:dyDescent="0.25">
      <c r="C97" s="29" t="s">
        <v>302</v>
      </c>
      <c r="D97" s="33" t="s">
        <v>303</v>
      </c>
      <c r="F97" s="31">
        <f t="shared" ref="F97:H97" si="43">F19/E19-1</f>
        <v>-1.2564944537210039</v>
      </c>
      <c r="G97" s="31">
        <f t="shared" si="43"/>
        <v>0.21109121270056375</v>
      </c>
      <c r="H97" s="31">
        <f t="shared" si="43"/>
        <v>-2.6896599958036504E-2</v>
      </c>
    </row>
    <row r="98" spans="2:8" ht="15.75" customHeight="1" x14ac:dyDescent="0.25">
      <c r="C98" s="29" t="s">
        <v>304</v>
      </c>
      <c r="D98" s="33" t="s">
        <v>305</v>
      </c>
      <c r="F98" s="31" t="str">
        <f>"n/a"</f>
        <v>n/a</v>
      </c>
      <c r="G98" s="31">
        <f t="shared" ref="G98:H98" si="44">G26/F26-1</f>
        <v>7.3486092059994235E-2</v>
      </c>
      <c r="H98" s="31">
        <f t="shared" si="44"/>
        <v>-0.40882716437294453</v>
      </c>
    </row>
    <row r="99" spans="2:8" ht="15.75" customHeight="1" x14ac:dyDescent="0.25">
      <c r="C99" s="29" t="s">
        <v>306</v>
      </c>
      <c r="D99" s="33" t="s">
        <v>307</v>
      </c>
      <c r="F99" s="31">
        <f t="shared" ref="F99:H99" si="45">F30/E30-1</f>
        <v>1.8167020002277434E-2</v>
      </c>
      <c r="G99" s="31">
        <f t="shared" si="45"/>
        <v>5.5580032344921371E-2</v>
      </c>
      <c r="H99" s="31">
        <f t="shared" si="45"/>
        <v>-6.1359489396880518E-3</v>
      </c>
    </row>
    <row r="100" spans="2:8" ht="15.75" customHeight="1" x14ac:dyDescent="0.25">
      <c r="C100" s="29" t="s">
        <v>308</v>
      </c>
      <c r="D100" s="33" t="s">
        <v>309</v>
      </c>
      <c r="F100" s="31">
        <f t="shared" ref="F100:H100" si="46">F40/E40-1</f>
        <v>2.0583705529031215E-2</v>
      </c>
      <c r="G100" s="31">
        <f t="shared" si="46"/>
        <v>1.2126413798827507E-2</v>
      </c>
      <c r="H100" s="31">
        <f t="shared" si="46"/>
        <v>-8.906281974487118E-2</v>
      </c>
    </row>
    <row r="101" spans="2:8" ht="15.75" customHeight="1" x14ac:dyDescent="0.25">
      <c r="C101" s="29" t="s">
        <v>310</v>
      </c>
      <c r="D101" s="33" t="s">
        <v>311</v>
      </c>
      <c r="H101" s="31">
        <f>(H6/E6)^(1/3)-1</f>
        <v>0.11344173228354304</v>
      </c>
    </row>
    <row r="102" spans="2:8" ht="15.75" customHeight="1" x14ac:dyDescent="0.25">
      <c r="C102" s="29" t="s">
        <v>312</v>
      </c>
      <c r="D102" s="33" t="s">
        <v>311</v>
      </c>
      <c r="H102" s="31">
        <f>(H9/E9)^(1/3)-1</f>
        <v>0.11443540032098243</v>
      </c>
    </row>
    <row r="103" spans="2:8" ht="15.75" customHeight="1" x14ac:dyDescent="0.25">
      <c r="C103" s="29" t="s">
        <v>313</v>
      </c>
      <c r="D103" s="33" t="s">
        <v>311</v>
      </c>
      <c r="H103" s="31">
        <f>(H30/E30)^(1/3)-1</f>
        <v>2.222317957355191E-2</v>
      </c>
    </row>
    <row r="104" spans="2:8" ht="15.75" customHeight="1" x14ac:dyDescent="0.25">
      <c r="D104" s="33"/>
    </row>
    <row r="105" spans="2:8" ht="15.75" customHeight="1" x14ac:dyDescent="0.25">
      <c r="B105" s="6"/>
      <c r="C105" s="6" t="s">
        <v>369</v>
      </c>
      <c r="D105" s="87"/>
      <c r="E105" s="6"/>
      <c r="F105" s="6"/>
      <c r="G105" s="6"/>
      <c r="H105" s="6"/>
    </row>
    <row r="106" spans="2:8" ht="15.75" customHeight="1" x14ac:dyDescent="0.25">
      <c r="C106" s="53" t="s">
        <v>314</v>
      </c>
      <c r="D106" s="33"/>
    </row>
    <row r="107" spans="2:8" ht="32.1" customHeight="1" x14ac:dyDescent="0.25">
      <c r="C107" s="54" t="s">
        <v>315</v>
      </c>
      <c r="D107" s="33"/>
    </row>
    <row r="108" spans="2:8" ht="32.1" customHeight="1" x14ac:dyDescent="0.25">
      <c r="C108" s="54" t="s">
        <v>316</v>
      </c>
      <c r="D108" s="33"/>
    </row>
    <row r="109" spans="2:8" ht="32.1" customHeight="1" x14ac:dyDescent="0.25">
      <c r="C109" s="54" t="s">
        <v>317</v>
      </c>
      <c r="D109" s="33"/>
    </row>
    <row r="110" spans="2:8" ht="32.1" customHeight="1" x14ac:dyDescent="0.25">
      <c r="C110" s="53" t="s">
        <v>318</v>
      </c>
      <c r="D110" s="33"/>
    </row>
    <row r="111" spans="2:8" ht="32.1" customHeight="1" x14ac:dyDescent="0.25">
      <c r="C111" s="54" t="s">
        <v>319</v>
      </c>
      <c r="D111" s="33"/>
    </row>
    <row r="112" spans="2:8" ht="32.1" customHeight="1" x14ac:dyDescent="0.25">
      <c r="C112" s="54" t="s">
        <v>320</v>
      </c>
      <c r="D112" s="33"/>
    </row>
    <row r="113" spans="2:8" ht="32.1" customHeight="1" x14ac:dyDescent="0.25">
      <c r="C113" s="54" t="s">
        <v>321</v>
      </c>
      <c r="D113" s="33"/>
    </row>
    <row r="114" spans="2:8" ht="32.1" customHeight="1" x14ac:dyDescent="0.25">
      <c r="C114" s="53" t="s">
        <v>322</v>
      </c>
      <c r="D114" s="33"/>
    </row>
    <row r="115" spans="2:8" ht="32.1" customHeight="1" x14ac:dyDescent="0.25">
      <c r="C115" s="54" t="s">
        <v>323</v>
      </c>
      <c r="D115" s="33"/>
    </row>
    <row r="116" spans="2:8" ht="32.1" customHeight="1" x14ac:dyDescent="0.25">
      <c r="C116" s="54" t="s">
        <v>324</v>
      </c>
      <c r="D116" s="33"/>
    </row>
    <row r="117" spans="2:8" ht="32.1" customHeight="1" x14ac:dyDescent="0.25">
      <c r="C117" s="54" t="s">
        <v>325</v>
      </c>
      <c r="D117" s="33"/>
    </row>
    <row r="118" spans="2:8" ht="32.1" customHeight="1" x14ac:dyDescent="0.25">
      <c r="C118" s="53" t="s">
        <v>326</v>
      </c>
      <c r="D118" s="33"/>
    </row>
    <row r="119" spans="2:8" ht="32.1" customHeight="1" x14ac:dyDescent="0.25">
      <c r="C119" s="54" t="s">
        <v>327</v>
      </c>
      <c r="D119" s="33"/>
    </row>
    <row r="120" spans="2:8" ht="32.1" customHeight="1" x14ac:dyDescent="0.25">
      <c r="C120" s="54" t="s">
        <v>328</v>
      </c>
      <c r="D120" s="33"/>
    </row>
    <row r="121" spans="2:8" ht="32.1" customHeight="1" x14ac:dyDescent="0.25">
      <c r="C121" s="54" t="s">
        <v>329</v>
      </c>
      <c r="D121" s="33"/>
    </row>
    <row r="122" spans="2:8" ht="32.1" customHeight="1" x14ac:dyDescent="0.25">
      <c r="C122" s="53" t="s">
        <v>330</v>
      </c>
      <c r="D122" s="33"/>
    </row>
    <row r="123" spans="2:8" ht="32.1" customHeight="1" x14ac:dyDescent="0.25">
      <c r="C123" s="54" t="s">
        <v>331</v>
      </c>
      <c r="D123" s="33"/>
    </row>
    <row r="124" spans="2:8" ht="32.1" customHeight="1" x14ac:dyDescent="0.25">
      <c r="C124" s="54" t="s">
        <v>332</v>
      </c>
      <c r="D124" s="33"/>
    </row>
    <row r="125" spans="2:8" ht="32.1" customHeight="1" x14ac:dyDescent="0.25">
      <c r="B125" s="6"/>
      <c r="C125" s="89" t="s">
        <v>340</v>
      </c>
      <c r="D125" s="90"/>
      <c r="E125" s="6"/>
      <c r="F125" s="6"/>
      <c r="G125" s="6"/>
      <c r="H125" s="6"/>
    </row>
    <row r="126" spans="2:8" ht="32.1" customHeight="1" x14ac:dyDescent="0.25">
      <c r="C126" s="79" t="s">
        <v>314</v>
      </c>
      <c r="D126" s="33"/>
    </row>
    <row r="127" spans="2:8" ht="32.1" customHeight="1" x14ac:dyDescent="0.25">
      <c r="C127" s="54" t="s">
        <v>341</v>
      </c>
      <c r="D127" s="33"/>
    </row>
    <row r="128" spans="2:8" ht="32.1" customHeight="1" x14ac:dyDescent="0.25">
      <c r="C128" s="54" t="s">
        <v>342</v>
      </c>
      <c r="D128" s="33"/>
    </row>
    <row r="129" spans="3:4" ht="32.1" customHeight="1" x14ac:dyDescent="0.25">
      <c r="C129" s="79" t="s">
        <v>318</v>
      </c>
      <c r="D129" s="33"/>
    </row>
    <row r="130" spans="3:4" ht="32.1" customHeight="1" x14ac:dyDescent="0.25">
      <c r="C130" s="54" t="s">
        <v>343</v>
      </c>
      <c r="D130" s="33"/>
    </row>
    <row r="131" spans="3:4" ht="32.1" customHeight="1" x14ac:dyDescent="0.25">
      <c r="C131" s="54" t="s">
        <v>344</v>
      </c>
      <c r="D131" s="33"/>
    </row>
    <row r="132" spans="3:4" ht="32.1" customHeight="1" x14ac:dyDescent="0.25">
      <c r="C132" s="54" t="s">
        <v>345</v>
      </c>
      <c r="D132" s="33"/>
    </row>
    <row r="133" spans="3:4" ht="32.1" customHeight="1" x14ac:dyDescent="0.25">
      <c r="C133" s="79" t="s">
        <v>322</v>
      </c>
      <c r="D133" s="33"/>
    </row>
    <row r="134" spans="3:4" ht="32.1" customHeight="1" x14ac:dyDescent="0.25">
      <c r="C134" s="54" t="s">
        <v>346</v>
      </c>
      <c r="D134" s="33"/>
    </row>
    <row r="135" spans="3:4" ht="32.1" customHeight="1" x14ac:dyDescent="0.25">
      <c r="C135" s="54" t="s">
        <v>347</v>
      </c>
      <c r="D135" s="33"/>
    </row>
    <row r="136" spans="3:4" ht="32.1" customHeight="1" x14ac:dyDescent="0.25">
      <c r="C136" s="54" t="s">
        <v>348</v>
      </c>
      <c r="D136" s="33"/>
    </row>
    <row r="137" spans="3:4" ht="32.1" customHeight="1" x14ac:dyDescent="0.25">
      <c r="C137" s="79" t="s">
        <v>326</v>
      </c>
      <c r="D137" s="33"/>
    </row>
    <row r="138" spans="3:4" ht="32.1" customHeight="1" x14ac:dyDescent="0.25">
      <c r="C138" s="54" t="s">
        <v>349</v>
      </c>
      <c r="D138" s="33"/>
    </row>
    <row r="139" spans="3:4" ht="32.1" customHeight="1" x14ac:dyDescent="0.25">
      <c r="C139" s="54" t="s">
        <v>350</v>
      </c>
      <c r="D139" s="33"/>
    </row>
    <row r="140" spans="3:4" ht="32.1" customHeight="1" x14ac:dyDescent="0.25">
      <c r="C140" s="54" t="s">
        <v>351</v>
      </c>
      <c r="D140" s="33"/>
    </row>
    <row r="141" spans="3:4" ht="32.1" customHeight="1" x14ac:dyDescent="0.25">
      <c r="C141" s="79" t="s">
        <v>330</v>
      </c>
      <c r="D141" s="33"/>
    </row>
    <row r="142" spans="3:4" ht="32.1" customHeight="1" x14ac:dyDescent="0.25">
      <c r="C142" s="54" t="s">
        <v>352</v>
      </c>
      <c r="D142" s="33"/>
    </row>
    <row r="143" spans="3:4" ht="32.1" customHeight="1" x14ac:dyDescent="0.25">
      <c r="C143" s="54" t="s">
        <v>353</v>
      </c>
      <c r="D143" s="33"/>
    </row>
    <row r="144" spans="3:4" ht="32.1" customHeight="1" x14ac:dyDescent="0.25">
      <c r="C144" s="54"/>
      <c r="D144" s="33"/>
    </row>
    <row r="145" spans="2:8" ht="32.1" customHeight="1" x14ac:dyDescent="0.25">
      <c r="B145" s="6"/>
      <c r="C145" s="89" t="s">
        <v>354</v>
      </c>
      <c r="D145" s="90"/>
      <c r="E145" s="6"/>
      <c r="F145" s="6"/>
      <c r="G145" s="6"/>
      <c r="H145" s="6"/>
    </row>
    <row r="146" spans="2:8" ht="32.1" customHeight="1" x14ac:dyDescent="0.25">
      <c r="C146" s="79" t="s">
        <v>314</v>
      </c>
      <c r="D146" s="33"/>
    </row>
    <row r="147" spans="2:8" ht="32.1" customHeight="1" x14ac:dyDescent="0.25">
      <c r="C147" s="54" t="s">
        <v>355</v>
      </c>
      <c r="D147" s="33"/>
    </row>
    <row r="148" spans="2:8" ht="32.1" customHeight="1" x14ac:dyDescent="0.25">
      <c r="C148" s="54" t="s">
        <v>356</v>
      </c>
      <c r="D148" s="33"/>
    </row>
    <row r="149" spans="2:8" ht="32.1" customHeight="1" x14ac:dyDescent="0.25">
      <c r="C149" s="79" t="s">
        <v>318</v>
      </c>
      <c r="D149" s="33"/>
    </row>
    <row r="150" spans="2:8" ht="32.1" customHeight="1" x14ac:dyDescent="0.25">
      <c r="C150" s="54" t="s">
        <v>357</v>
      </c>
      <c r="D150" s="33"/>
    </row>
    <row r="151" spans="2:8" ht="32.1" customHeight="1" x14ac:dyDescent="0.25">
      <c r="C151" s="54" t="s">
        <v>358</v>
      </c>
      <c r="D151" s="33"/>
    </row>
    <row r="152" spans="2:8" ht="32.1" customHeight="1" x14ac:dyDescent="0.25">
      <c r="C152" s="54" t="s">
        <v>359</v>
      </c>
      <c r="D152" s="33"/>
    </row>
    <row r="153" spans="2:8" ht="32.1" customHeight="1" x14ac:dyDescent="0.25">
      <c r="C153" s="79" t="s">
        <v>322</v>
      </c>
      <c r="D153" s="33"/>
    </row>
    <row r="154" spans="2:8" ht="32.1" customHeight="1" x14ac:dyDescent="0.25">
      <c r="C154" s="54" t="s">
        <v>360</v>
      </c>
      <c r="D154" s="33"/>
    </row>
    <row r="155" spans="2:8" ht="32.1" customHeight="1" x14ac:dyDescent="0.25">
      <c r="C155" s="54" t="s">
        <v>361</v>
      </c>
      <c r="D155" s="33"/>
    </row>
    <row r="156" spans="2:8" ht="32.1" customHeight="1" x14ac:dyDescent="0.25">
      <c r="C156" s="54" t="s">
        <v>362</v>
      </c>
      <c r="D156" s="33"/>
    </row>
    <row r="157" spans="2:8" ht="32.1" customHeight="1" x14ac:dyDescent="0.25">
      <c r="C157" s="79" t="s">
        <v>326</v>
      </c>
      <c r="D157" s="33"/>
    </row>
    <row r="158" spans="2:8" ht="32.1" customHeight="1" x14ac:dyDescent="0.25">
      <c r="C158" s="54" t="s">
        <v>363</v>
      </c>
      <c r="D158" s="33"/>
    </row>
    <row r="159" spans="2:8" ht="32.1" customHeight="1" x14ac:dyDescent="0.25">
      <c r="C159" s="54" t="s">
        <v>364</v>
      </c>
      <c r="D159" s="33"/>
    </row>
    <row r="160" spans="2:8" ht="32.1" customHeight="1" x14ac:dyDescent="0.25">
      <c r="C160" s="54" t="s">
        <v>365</v>
      </c>
      <c r="D160" s="33"/>
    </row>
    <row r="161" spans="2:8" ht="32.1" customHeight="1" x14ac:dyDescent="0.25">
      <c r="C161" s="79" t="s">
        <v>330</v>
      </c>
      <c r="D161" s="33"/>
    </row>
    <row r="162" spans="2:8" ht="32.1" customHeight="1" x14ac:dyDescent="0.25">
      <c r="C162" s="54" t="s">
        <v>366</v>
      </c>
      <c r="D162" s="33"/>
    </row>
    <row r="163" spans="2:8" ht="32.1" customHeight="1" x14ac:dyDescent="0.25">
      <c r="C163" s="54" t="s">
        <v>367</v>
      </c>
      <c r="D163" s="33"/>
    </row>
    <row r="164" spans="2:8" ht="32.1" customHeight="1" x14ac:dyDescent="0.25">
      <c r="C164" s="54"/>
      <c r="D164" s="33"/>
    </row>
    <row r="165" spans="2:8" ht="15.75" customHeight="1" x14ac:dyDescent="0.25">
      <c r="D165" s="33"/>
    </row>
    <row r="166" spans="2:8" ht="15.75" customHeight="1" x14ac:dyDescent="0.25">
      <c r="B166" s="91"/>
      <c r="C166" s="92" t="s">
        <v>368</v>
      </c>
      <c r="D166" s="93"/>
      <c r="E166" s="92"/>
      <c r="F166" s="92"/>
      <c r="G166" s="92"/>
      <c r="H166" s="94"/>
    </row>
    <row r="167" spans="2:8" ht="15.75" customHeight="1" x14ac:dyDescent="0.25">
      <c r="B167" s="62"/>
      <c r="C167" s="63" t="s">
        <v>333</v>
      </c>
      <c r="D167" s="95" t="s">
        <v>334</v>
      </c>
      <c r="E167" s="65">
        <f>'Balance Sheet'!D31-'Balance Sheet'!D59</f>
        <v>0</v>
      </c>
      <c r="F167" s="65">
        <f>'Balance Sheet'!E31-'Balance Sheet'!E59</f>
        <v>0</v>
      </c>
      <c r="G167" s="65">
        <f>'Balance Sheet'!F31-'Balance Sheet'!F59</f>
        <v>0</v>
      </c>
      <c r="H167" s="66">
        <f>'Balance Sheet'!G31-'Balance Sheet'!G59</f>
        <v>0</v>
      </c>
    </row>
    <row r="168" spans="2:8" ht="15.75" customHeight="1" x14ac:dyDescent="0.25">
      <c r="B168" s="67"/>
      <c r="C168" s="68" t="s">
        <v>335</v>
      </c>
      <c r="D168" s="96" t="s">
        <v>336</v>
      </c>
      <c r="E168" s="70">
        <f>'Cash Flow'!D52-'Balance Sheet'!D24</f>
        <v>-7.2899999999999636</v>
      </c>
      <c r="F168" s="70">
        <f>'Cash Flow'!E52-'Balance Sheet'!E24</f>
        <v>0</v>
      </c>
      <c r="G168" s="70">
        <f>'Cash Flow'!F52-'Balance Sheet'!F24</f>
        <v>0</v>
      </c>
      <c r="H168" s="71">
        <f>'Cash Flow'!G52-'Balance Sheet'!G24</f>
        <v>0</v>
      </c>
    </row>
    <row r="169" spans="2:8" ht="15.75" customHeight="1" x14ac:dyDescent="0.25">
      <c r="B169" s="67"/>
      <c r="C169" s="68" t="s">
        <v>337</v>
      </c>
      <c r="D169" s="96" t="s">
        <v>338</v>
      </c>
      <c r="E169" s="72">
        <f>'P&amp;L'!D22-'Cash Flow'!D6</f>
        <v>0</v>
      </c>
      <c r="F169" s="72">
        <f>'P&amp;L'!E22-'Cash Flow'!E6</f>
        <v>0</v>
      </c>
      <c r="G169" s="72">
        <f>'P&amp;L'!F22-'Cash Flow'!F6</f>
        <v>0</v>
      </c>
      <c r="H169" s="73">
        <f>'P&amp;L'!G22-'Cash Flow'!G6</f>
        <v>0</v>
      </c>
    </row>
    <row r="170" spans="2:8" ht="15.75" customHeight="1" x14ac:dyDescent="0.25">
      <c r="B170" s="74"/>
      <c r="C170" s="75" t="s">
        <v>186</v>
      </c>
      <c r="D170" s="97" t="s">
        <v>339</v>
      </c>
      <c r="E170" s="77">
        <f>'P&amp;L'!D27+'P&amp;L'!D32-'P&amp;L'!D33</f>
        <v>0</v>
      </c>
      <c r="F170" s="77">
        <f>'P&amp;L'!E27+'P&amp;L'!E32-'P&amp;L'!E33</f>
        <v>0</v>
      </c>
      <c r="G170" s="77">
        <f>'P&amp;L'!F27+'P&amp;L'!F32-'P&amp;L'!F33</f>
        <v>0</v>
      </c>
      <c r="H170" s="78">
        <f>'P&amp;L'!G27+'P&amp;L'!G32-'P&amp;L'!G33</f>
        <v>0</v>
      </c>
    </row>
  </sheetData>
  <mergeCells count="1">
    <mergeCell ref="B1:H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5B8D-3B6C-4D9D-B3AD-CCF313083801}">
  <sheetPr>
    <tabColor rgb="FFC00000"/>
  </sheetPr>
  <dimension ref="B1:AC80"/>
  <sheetViews>
    <sheetView showGridLines="0" tabSelected="1" zoomScale="68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73" sqref="B73:R73"/>
    </sheetView>
  </sheetViews>
  <sheetFormatPr defaultRowHeight="15.75" customHeight="1" x14ac:dyDescent="0.25"/>
  <cols>
    <col min="1" max="1" width="2.6640625" style="29" customWidth="1"/>
    <col min="2" max="2" width="21" style="29" customWidth="1"/>
    <col min="3" max="20" width="11.109375" style="29" customWidth="1"/>
    <col min="21" max="24" width="8.88671875" style="29"/>
    <col min="25" max="25" width="8.33203125" style="29" customWidth="1"/>
    <col min="26" max="16384" width="8.88671875" style="29"/>
  </cols>
  <sheetData>
    <row r="1" spans="2:29" ht="25.5" customHeight="1" x14ac:dyDescent="0.25">
      <c r="B1" s="80" t="s">
        <v>370</v>
      </c>
      <c r="C1" s="80"/>
      <c r="D1" s="80"/>
      <c r="E1" s="80"/>
      <c r="F1" s="80"/>
      <c r="G1" s="80"/>
      <c r="H1" s="80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Y1" s="101"/>
    </row>
    <row r="2" spans="2:29" ht="21.95" customHeight="1" x14ac:dyDescent="0.25">
      <c r="B2" s="108" t="s">
        <v>371</v>
      </c>
      <c r="C2" s="109"/>
      <c r="D2" s="109"/>
      <c r="E2" s="109"/>
      <c r="F2" s="109"/>
      <c r="G2" s="110"/>
      <c r="H2" s="110"/>
      <c r="I2" s="110"/>
      <c r="J2" s="110"/>
      <c r="K2" s="110"/>
      <c r="L2" s="110"/>
      <c r="M2" s="99"/>
      <c r="N2" s="99"/>
      <c r="O2" s="99"/>
      <c r="P2" s="99"/>
      <c r="Q2" s="99"/>
      <c r="R2" s="99"/>
      <c r="S2" s="99"/>
      <c r="T2" s="99"/>
      <c r="Y2" s="101"/>
    </row>
    <row r="3" spans="2:29" ht="6" customHeight="1" thickBot="1" x14ac:dyDescent="0.3">
      <c r="Y3" s="100">
        <f>MATCH($C$4,$Y$4:$Y$7,0)</f>
        <v>4</v>
      </c>
    </row>
    <row r="4" spans="2:29" ht="27.95" customHeight="1" thickBot="1" x14ac:dyDescent="0.3">
      <c r="B4" s="157" t="s">
        <v>372</v>
      </c>
      <c r="C4" s="158" t="s">
        <v>150</v>
      </c>
      <c r="D4" s="102"/>
      <c r="E4" s="155" t="s">
        <v>373</v>
      </c>
      <c r="F4" s="156"/>
      <c r="G4" s="156"/>
      <c r="H4" s="156"/>
      <c r="I4" s="156"/>
      <c r="J4" s="156"/>
      <c r="Y4" s="101" t="s">
        <v>147</v>
      </c>
    </row>
    <row r="5" spans="2:29" ht="6" customHeight="1" thickBot="1" x14ac:dyDescent="0.3">
      <c r="Y5" s="101" t="s">
        <v>148</v>
      </c>
    </row>
    <row r="6" spans="2:29" ht="21.95" customHeight="1" x14ac:dyDescent="0.3">
      <c r="B6" s="162" t="s">
        <v>374</v>
      </c>
      <c r="C6" s="163"/>
      <c r="D6" s="163"/>
      <c r="E6" s="164"/>
      <c r="G6" s="159" t="s">
        <v>205</v>
      </c>
      <c r="H6" s="160"/>
      <c r="I6" s="160"/>
      <c r="J6" s="161"/>
      <c r="L6" s="159" t="s">
        <v>375</v>
      </c>
      <c r="M6" s="160"/>
      <c r="N6" s="160"/>
      <c r="O6" s="161"/>
      <c r="P6" s="165"/>
      <c r="Q6" s="159" t="s">
        <v>376</v>
      </c>
      <c r="R6" s="160"/>
      <c r="S6" s="160"/>
      <c r="T6" s="161"/>
      <c r="Y6" s="101" t="s">
        <v>149</v>
      </c>
    </row>
    <row r="7" spans="2:29" ht="18" customHeight="1" x14ac:dyDescent="0.25">
      <c r="B7" s="137" t="str">
        <f>$C$4 &amp; "  |  ₹ Crore"</f>
        <v>FY2024  |  ₹ Crore</v>
      </c>
      <c r="C7" s="138"/>
      <c r="D7" s="138"/>
      <c r="E7" s="139"/>
      <c r="G7" s="137" t="str">
        <f>$C$4 &amp; "  |  ₹ Crore"</f>
        <v>FY2024  |  ₹ Crore</v>
      </c>
      <c r="H7" s="138"/>
      <c r="I7" s="138"/>
      <c r="J7" s="139"/>
      <c r="L7" s="137" t="str">
        <f>$C$4 &amp; "  |  ₹ Crore"</f>
        <v>FY2024  |  ₹ Crore</v>
      </c>
      <c r="M7" s="138"/>
      <c r="N7" s="138"/>
      <c r="O7" s="139"/>
      <c r="Q7" s="137" t="str">
        <f>$C$4 &amp; "  |  ₹ Crore"</f>
        <v>FY2024  |  ₹ Crore</v>
      </c>
      <c r="R7" s="138"/>
      <c r="S7" s="138"/>
      <c r="T7" s="139"/>
      <c r="Y7" s="101" t="s">
        <v>150</v>
      </c>
    </row>
    <row r="8" spans="2:29" ht="38.1" customHeight="1" x14ac:dyDescent="0.25">
      <c r="B8" s="166" cm="1">
        <f t="array" ref="B8">INDEX('Detailed Analysis'!$E$6:$H$6,$Y$3)</f>
        <v>23892.78</v>
      </c>
      <c r="C8" s="167"/>
      <c r="D8" s="167"/>
      <c r="E8" s="168"/>
      <c r="G8" s="166" cm="1">
        <f t="array" ref="G8">INDEX('Detailed Analysis'!$E$16:$H$16,$Y$3)</f>
        <v>1222.8499999999999</v>
      </c>
      <c r="H8" s="167"/>
      <c r="I8" s="167"/>
      <c r="J8" s="168"/>
      <c r="L8" s="166" cm="1">
        <f t="array" ref="L8">INDEX('Detailed Analysis'!$E$26:$H$26,$Y$3)</f>
        <v>282.22000000000003</v>
      </c>
      <c r="M8" s="167"/>
      <c r="N8" s="167"/>
      <c r="O8" s="168"/>
      <c r="Q8" s="166" cm="1">
        <f t="array" ref="Q8">INDEX('Detailed Analysis'!$E$85:$H$85,$Y$3)</f>
        <v>-3945.4</v>
      </c>
      <c r="R8" s="167"/>
      <c r="S8" s="167"/>
      <c r="T8" s="168"/>
      <c r="Y8" s="101"/>
    </row>
    <row r="9" spans="2:29" ht="21.95" customHeight="1" thickBot="1" x14ac:dyDescent="0.3">
      <c r="B9" s="152" cm="1">
        <f t="array" ref="B9">IFERROR((INDEX('Detailed Analysis'!$E$6:$H$6,$Y$3)-INDEX('Detailed Analysis'!$E$6:$H$6,$Y$3-1))/ABS(INDEX('Detailed Analysis'!$E$6:$H$6,$Y$3-1)),"")</f>
        <v>2.2591113009492007E-2</v>
      </c>
      <c r="C9" s="153"/>
      <c r="D9" s="153"/>
      <c r="E9" s="154"/>
      <c r="G9" s="152" cm="1">
        <f t="array" ref="G9">IFERROR((INDEX('Detailed Analysis'!$E$16:$H$16,$Y$3)-INDEX('Detailed Analysis'!$E$16:$H$16,$Y$3-1))/ABS(INDEX('Detailed Analysis'!$E$16:$H$16,$Y$3-1)),"")</f>
        <v>-3.0415236162098229E-2</v>
      </c>
      <c r="H9" s="153"/>
      <c r="I9" s="153"/>
      <c r="J9" s="154"/>
      <c r="L9" s="152" cm="1">
        <f t="array" ref="L9">IFERROR((INDEX('Detailed Analysis'!$E$26:$H$26,$Y$3)-INDEX('Detailed Analysis'!$E$26:$H$26,$Y$3-1))/ABS(INDEX('Detailed Analysis'!$E$26:$H$26,$Y$3-1)),"")</f>
        <v>-0.40882716437294447</v>
      </c>
      <c r="M9" s="153"/>
      <c r="N9" s="153"/>
      <c r="O9" s="154"/>
      <c r="Q9" s="140" cm="1">
        <f t="array" ref="Q9">IFERROR(INDEX('Detailed Analysis'!$E$85:$H$85,$Y$3)-INDEX('Detailed Analysis'!$E$85:$H$85,$Y$3-1),"")</f>
        <v>-3015.48</v>
      </c>
      <c r="R9" s="141"/>
      <c r="S9" s="141"/>
      <c r="T9" s="142"/>
      <c r="Y9" s="101"/>
    </row>
    <row r="10" spans="2:29" ht="8.1" customHeight="1" thickBot="1" x14ac:dyDescent="0.35">
      <c r="Q10" s="165"/>
      <c r="Y10" s="101" t="s">
        <v>382</v>
      </c>
      <c r="Z10" s="101"/>
      <c r="AA10" s="101"/>
      <c r="AB10" s="101"/>
      <c r="AC10" s="101"/>
    </row>
    <row r="11" spans="2:29" ht="21.95" customHeight="1" x14ac:dyDescent="0.25">
      <c r="B11" s="159" t="s">
        <v>377</v>
      </c>
      <c r="C11" s="160"/>
      <c r="D11" s="160"/>
      <c r="E11" s="161"/>
      <c r="G11" s="159" t="s">
        <v>378</v>
      </c>
      <c r="H11" s="160"/>
      <c r="I11" s="160"/>
      <c r="J11" s="161"/>
      <c r="L11" s="159" t="s">
        <v>379</v>
      </c>
      <c r="M11" s="160"/>
      <c r="N11" s="160"/>
      <c r="O11" s="161"/>
      <c r="Q11" s="159" t="s">
        <v>380</v>
      </c>
      <c r="R11" s="160"/>
      <c r="S11" s="160"/>
      <c r="T11" s="161"/>
      <c r="Y11" s="101"/>
      <c r="Z11" s="101" t="s">
        <v>147</v>
      </c>
      <c r="AA11" s="101" t="s">
        <v>148</v>
      </c>
      <c r="AB11" s="101" t="s">
        <v>149</v>
      </c>
      <c r="AC11" s="101" t="s">
        <v>150</v>
      </c>
    </row>
    <row r="12" spans="2:29" ht="18" customHeight="1" x14ac:dyDescent="0.25">
      <c r="B12" s="137" t="str">
        <f>$C$4 &amp; "  |  ₹ Crore"</f>
        <v>FY2024  |  ₹ Crore</v>
      </c>
      <c r="C12" s="138"/>
      <c r="D12" s="138"/>
      <c r="E12" s="139"/>
      <c r="G12" s="137" t="str">
        <f>$C$4 &amp; "  |  ROE"</f>
        <v>FY2024  |  ROE</v>
      </c>
      <c r="H12" s="138"/>
      <c r="I12" s="138"/>
      <c r="J12" s="139"/>
      <c r="L12" s="137" t="str">
        <f>$C$4 &amp; "  |  Liquidity"</f>
        <v>FY2024  |  Liquidity</v>
      </c>
      <c r="M12" s="138"/>
      <c r="N12" s="138"/>
      <c r="O12" s="139"/>
      <c r="Q12" s="137" t="str">
        <f>$C$4 &amp; "  |  Leverage (lower is better)"</f>
        <v>FY2024  |  Leverage (lower is better)</v>
      </c>
      <c r="R12" s="138"/>
      <c r="S12" s="138"/>
      <c r="T12" s="139"/>
      <c r="Y12" s="101" t="s">
        <v>151</v>
      </c>
      <c r="Z12" s="103">
        <f>'Detailed Analysis'!E6</f>
        <v>17308.689999999999</v>
      </c>
      <c r="AA12" s="103">
        <f>'Detailed Analysis'!F6</f>
        <v>21211.09</v>
      </c>
      <c r="AB12" s="103">
        <f>'Detailed Analysis'!G6</f>
        <v>23364.94</v>
      </c>
      <c r="AC12" s="103">
        <f>'Detailed Analysis'!H6</f>
        <v>23892.78</v>
      </c>
    </row>
    <row r="13" spans="2:29" ht="38.1" customHeight="1" x14ac:dyDescent="0.25">
      <c r="B13" s="166" cm="1">
        <f t="array" ref="B13">INDEX('Detailed Analysis'!$E$38:$H$38,$Y$3)</f>
        <v>-2698.9899999999989</v>
      </c>
      <c r="C13" s="167"/>
      <c r="D13" s="167"/>
      <c r="E13" s="168"/>
      <c r="G13" s="172" cm="1">
        <f t="array" ref="G13">INDEX('Detailed Analysis'!$E$76:$H$76,$Y$3)</f>
        <v>1.1009880101461613E-2</v>
      </c>
      <c r="H13" s="173"/>
      <c r="I13" s="173"/>
      <c r="J13" s="174"/>
      <c r="L13" s="169" cm="1">
        <f t="array" ref="L13">INDEX('Detailed Analysis'!$E$46:$H$46,$Y$3)</f>
        <v>1.3636743668287754</v>
      </c>
      <c r="M13" s="170"/>
      <c r="N13" s="170"/>
      <c r="O13" s="171"/>
      <c r="Q13" s="169" cm="1">
        <f t="array" ref="Q13">INDEX('Detailed Analysis'!$E$56:$H$56,$Y$3)</f>
        <v>7.2424745471644112</v>
      </c>
      <c r="R13" s="170"/>
      <c r="S13" s="170"/>
      <c r="T13" s="171"/>
      <c r="Y13" s="101" t="s">
        <v>205</v>
      </c>
      <c r="Z13" s="103">
        <f>'Detailed Analysis'!E16</f>
        <v>-2748.73</v>
      </c>
      <c r="AA13" s="103">
        <f>'Detailed Analysis'!F16</f>
        <v>1140.54</v>
      </c>
      <c r="AB13" s="103">
        <f>'Detailed Analysis'!G16</f>
        <v>1261.2099999999998</v>
      </c>
      <c r="AC13" s="103">
        <f>'Detailed Analysis'!H16</f>
        <v>1222.8499999999999</v>
      </c>
    </row>
    <row r="14" spans="2:29" ht="21.95" customHeight="1" thickBot="1" x14ac:dyDescent="0.3">
      <c r="B14" s="140" cm="1">
        <f t="array" ref="B14">IFERROR(INDEX('Detailed Analysis'!$E$38:$H$38,$Y$3)-INDEX('Detailed Analysis'!$E$38:$H$38,$Y$3-1),"")</f>
        <v>-3888.0599999999986</v>
      </c>
      <c r="C14" s="141"/>
      <c r="D14" s="141"/>
      <c r="E14" s="142"/>
      <c r="G14" s="143" cm="1">
        <f t="array" ref="G14">IFERROR(INDEX('Detailed Analysis'!$E$76:$H$76,$Y$3)-INDEX('Detailed Analysis'!$E$76:$H$76,$Y$3-1),"")</f>
        <v>-6.8918096637059709E-3</v>
      </c>
      <c r="H14" s="144"/>
      <c r="I14" s="144"/>
      <c r="J14" s="145"/>
      <c r="L14" s="146" cm="1">
        <f t="array" ref="L14">IFERROR(INDEX('Detailed Analysis'!$E$46:$H$46,$Y$3)-INDEX('Detailed Analysis'!$E$46:$H$46,$Y$3-1),"")</f>
        <v>7.5433470335882546E-2</v>
      </c>
      <c r="M14" s="147"/>
      <c r="N14" s="147"/>
      <c r="O14" s="148"/>
      <c r="Q14" s="149" cm="1">
        <f t="array" ref="Q14">IFERROR(INDEX('Detailed Analysis'!$E$56:$H$56,$Y$3)-INDEX('Detailed Analysis'!$E$56:$H$56,$Y$3-1),"")</f>
        <v>2.9184444490839958</v>
      </c>
      <c r="R14" s="150"/>
      <c r="S14" s="150"/>
      <c r="T14" s="151"/>
      <c r="Y14" s="101" t="s">
        <v>383</v>
      </c>
      <c r="Z14" s="103">
        <f>'Detailed Analysis'!E26</f>
        <v>-2699.7</v>
      </c>
      <c r="AA14" s="103">
        <f>'Detailed Analysis'!F26</f>
        <v>444.71</v>
      </c>
      <c r="AB14" s="103">
        <f>'Detailed Analysis'!G26</f>
        <v>477.39</v>
      </c>
      <c r="AC14" s="103">
        <f>'Detailed Analysis'!H26</f>
        <v>282.22000000000003</v>
      </c>
    </row>
    <row r="15" spans="2:29" ht="9.9499999999999993" customHeight="1" x14ac:dyDescent="0.25">
      <c r="Y15" s="101" t="s">
        <v>207</v>
      </c>
      <c r="Z15" s="104">
        <f>'Detailed Analysis'!E17</f>
        <v>-0.15880635680689875</v>
      </c>
      <c r="AA15" s="104">
        <f>'Detailed Analysis'!F17</f>
        <v>5.3770928320986802E-2</v>
      </c>
      <c r="AB15" s="104">
        <f>'Detailed Analysis'!G17</f>
        <v>5.3978739085142093E-2</v>
      </c>
      <c r="AC15" s="104">
        <f>'Detailed Analysis'!H17</f>
        <v>5.1180733259168665E-2</v>
      </c>
    </row>
    <row r="16" spans="2:29" ht="21.95" customHeight="1" x14ac:dyDescent="0.25">
      <c r="B16" s="175" t="s">
        <v>381</v>
      </c>
      <c r="C16" s="175"/>
      <c r="D16" s="175"/>
      <c r="E16" s="175"/>
      <c r="F16" s="175"/>
      <c r="G16" s="175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Y16" s="101" t="s">
        <v>160</v>
      </c>
      <c r="Z16" s="104">
        <f>'Detailed Analysis'!E27</f>
        <v>-0.15597367565078582</v>
      </c>
      <c r="AA16" s="104">
        <f>'Detailed Analysis'!F27</f>
        <v>2.0965919243188351E-2</v>
      </c>
      <c r="AB16" s="104">
        <f>'Detailed Analysis'!G27</f>
        <v>2.0431894967416993E-2</v>
      </c>
      <c r="AC16" s="104">
        <f>'Detailed Analysis'!H27</f>
        <v>1.1811936492948918E-2</v>
      </c>
    </row>
    <row r="17" spans="25:29" ht="15.95" customHeight="1" x14ac:dyDescent="0.25">
      <c r="Y17" s="101" t="s">
        <v>199</v>
      </c>
      <c r="Z17" s="104">
        <f>'Detailed Analysis'!E13</f>
        <v>0.31418091143812732</v>
      </c>
      <c r="AA17" s="104">
        <f>'Detailed Analysis'!F13</f>
        <v>0.30254220787333408</v>
      </c>
      <c r="AB17" s="104">
        <f>'Detailed Analysis'!G13</f>
        <v>0.30234274087585922</v>
      </c>
      <c r="AC17" s="104">
        <f>'Detailed Analysis'!H13</f>
        <v>0.29656113687900704</v>
      </c>
    </row>
    <row r="18" spans="25:29" ht="15.95" customHeight="1" x14ac:dyDescent="0.25">
      <c r="Y18" s="101" t="s">
        <v>384</v>
      </c>
      <c r="Z18" s="103">
        <f>'Detailed Analysis'!E81</f>
        <v>559.95000000000005</v>
      </c>
      <c r="AA18" s="103">
        <f>'Detailed Analysis'!F81</f>
        <v>660.25</v>
      </c>
      <c r="AB18" s="103">
        <f>'Detailed Analysis'!G81</f>
        <v>-741.52</v>
      </c>
      <c r="AC18" s="103">
        <f>'Detailed Analysis'!H81</f>
        <v>-3712.9</v>
      </c>
    </row>
    <row r="19" spans="25:29" ht="15.95" customHeight="1" x14ac:dyDescent="0.25">
      <c r="Y19" s="101" t="s">
        <v>385</v>
      </c>
      <c r="Z19" s="103">
        <f>'Detailed Analysis'!E87</f>
        <v>-42.5</v>
      </c>
      <c r="AA19" s="103">
        <f>'Detailed Analysis'!F87</f>
        <v>-1125.32</v>
      </c>
      <c r="AB19" s="103">
        <f>'Detailed Analysis'!G87</f>
        <v>1480.46</v>
      </c>
      <c r="AC19" s="103">
        <f>'Detailed Analysis'!H87</f>
        <v>1330.86</v>
      </c>
    </row>
    <row r="20" spans="25:29" ht="15.95" customHeight="1" x14ac:dyDescent="0.25">
      <c r="Y20" s="101" t="s">
        <v>386</v>
      </c>
      <c r="Z20" s="103">
        <f>'Detailed Analysis'!E88</f>
        <v>-394.15</v>
      </c>
      <c r="AA20" s="103">
        <f>'Detailed Analysis'!F88</f>
        <v>-329.49</v>
      </c>
      <c r="AB20" s="103">
        <f>'Detailed Analysis'!G88</f>
        <v>88.96</v>
      </c>
      <c r="AC20" s="103">
        <f>'Detailed Analysis'!H88</f>
        <v>2655.74</v>
      </c>
    </row>
    <row r="21" spans="25:29" ht="15.95" customHeight="1" x14ac:dyDescent="0.25">
      <c r="Y21" s="101" t="s">
        <v>387</v>
      </c>
      <c r="Z21" s="103">
        <f>'Detailed Analysis'!E85</f>
        <v>309.60000000000002</v>
      </c>
      <c r="AA21" s="103">
        <f>'Detailed Analysis'!F85</f>
        <v>490.87</v>
      </c>
      <c r="AB21" s="103">
        <f>'Detailed Analysis'!G85</f>
        <v>-929.92</v>
      </c>
      <c r="AC21" s="103">
        <f>'Detailed Analysis'!H85</f>
        <v>-3945.4</v>
      </c>
    </row>
    <row r="22" spans="25:29" ht="15.95" customHeight="1" x14ac:dyDescent="0.25">
      <c r="Y22" s="101" t="s">
        <v>169</v>
      </c>
      <c r="Z22" s="103">
        <f>'Detailed Analysis'!E36</f>
        <v>6701.4500000000007</v>
      </c>
      <c r="AA22" s="103">
        <f>'Detailed Analysis'!F36</f>
        <v>7153.69</v>
      </c>
      <c r="AB22" s="103">
        <f>'Detailed Analysis'!G36</f>
        <v>6642.58</v>
      </c>
      <c r="AC22" s="103">
        <f>'Detailed Analysis'!H36</f>
        <v>6157.47</v>
      </c>
    </row>
    <row r="23" spans="25:29" ht="15.95" customHeight="1" x14ac:dyDescent="0.25">
      <c r="Y23" s="101" t="s">
        <v>170</v>
      </c>
      <c r="Z23" s="103">
        <f>'Detailed Analysis'!E37</f>
        <v>4950.8899999999994</v>
      </c>
      <c r="AA23" s="103">
        <f>'Detailed Analysis'!F37</f>
        <v>4829.93</v>
      </c>
      <c r="AB23" s="103">
        <f>'Detailed Analysis'!G37</f>
        <v>5453.51</v>
      </c>
      <c r="AC23" s="103">
        <f>'Detailed Analysis'!H37</f>
        <v>8856.4599999999991</v>
      </c>
    </row>
    <row r="24" spans="25:29" ht="15.95" customHeight="1" x14ac:dyDescent="0.25">
      <c r="Y24" s="101" t="s">
        <v>388</v>
      </c>
      <c r="Z24" s="103">
        <f>'Detailed Analysis'!E38</f>
        <v>1750.5600000000013</v>
      </c>
      <c r="AA24" s="103">
        <f>'Detailed Analysis'!F38</f>
        <v>2323.7599999999993</v>
      </c>
      <c r="AB24" s="103">
        <f>'Detailed Analysis'!G38</f>
        <v>1189.0699999999997</v>
      </c>
      <c r="AC24" s="103">
        <f>'Detailed Analysis'!H38</f>
        <v>-2698.9899999999989</v>
      </c>
    </row>
    <row r="25" spans="25:29" ht="15.95" customHeight="1" x14ac:dyDescent="0.25">
      <c r="Y25" s="101" t="s">
        <v>37</v>
      </c>
      <c r="Z25" s="103">
        <f>'Detailed Analysis'!E40</f>
        <v>25972</v>
      </c>
      <c r="AA25" s="103">
        <f>'Detailed Analysis'!F40</f>
        <v>26506.6</v>
      </c>
      <c r="AB25" s="103">
        <f>'Detailed Analysis'!G40</f>
        <v>26828.03</v>
      </c>
      <c r="AC25" s="103">
        <f>'Detailed Analysis'!H40</f>
        <v>24438.65</v>
      </c>
    </row>
    <row r="26" spans="25:29" ht="15.95" customHeight="1" x14ac:dyDescent="0.25">
      <c r="Y26" s="101" t="s">
        <v>168</v>
      </c>
      <c r="Z26" s="105">
        <f>'Detailed Analysis'!E46</f>
        <v>1.3923008113587276</v>
      </c>
      <c r="AA26" s="105">
        <f>'Detailed Analysis'!F46</f>
        <v>1.3037192663941808</v>
      </c>
      <c r="AB26" s="105">
        <f>'Detailed Analysis'!G46</f>
        <v>1.2882408964928929</v>
      </c>
      <c r="AC26" s="105">
        <f>'Detailed Analysis'!H46</f>
        <v>1.3636743668287754</v>
      </c>
    </row>
    <row r="27" spans="25:29" ht="15.95" customHeight="1" x14ac:dyDescent="0.25">
      <c r="Y27" s="101" t="s">
        <v>239</v>
      </c>
      <c r="Z27" s="105">
        <f>'Detailed Analysis'!E47</f>
        <v>1.0388903980457047</v>
      </c>
      <c r="AA27" s="105">
        <f>'Detailed Analysis'!F47</f>
        <v>0.99675356730919951</v>
      </c>
      <c r="AB27" s="105">
        <f>'Detailed Analysis'!G47</f>
        <v>0.9989268327777644</v>
      </c>
      <c r="AC27" s="105">
        <f>'Detailed Analysis'!H47</f>
        <v>1.0786458662287628</v>
      </c>
    </row>
    <row r="28" spans="25:29" ht="15.95" customHeight="1" x14ac:dyDescent="0.25">
      <c r="Y28" s="101" t="s">
        <v>185</v>
      </c>
      <c r="Z28" s="105">
        <f>'Detailed Analysis'!E48</f>
        <v>0.32919294932851806</v>
      </c>
      <c r="AA28" s="105">
        <f>'Detailed Analysis'!F48</f>
        <v>0.33473584715843552</v>
      </c>
      <c r="AB28" s="105">
        <f>'Detailed Analysis'!G48</f>
        <v>0.28446125806374256</v>
      </c>
      <c r="AC28" s="105">
        <f>'Detailed Analysis'!H48</f>
        <v>0.24306314343459864</v>
      </c>
    </row>
    <row r="29" spans="25:29" ht="15.95" customHeight="1" x14ac:dyDescent="0.25">
      <c r="Y29" s="101" t="s">
        <v>389</v>
      </c>
      <c r="Z29" s="105">
        <f>'Detailed Analysis'!E52</f>
        <v>0.1906241336824272</v>
      </c>
      <c r="AA29" s="105">
        <f>'Detailed Analysis'!F52</f>
        <v>0.18221612730414313</v>
      </c>
      <c r="AB29" s="105">
        <f>'Detailed Analysis'!G52</f>
        <v>0.20327657304692145</v>
      </c>
      <c r="AC29" s="105">
        <f>'Detailed Analysis'!H52</f>
        <v>0.36239563150992377</v>
      </c>
    </row>
    <row r="30" spans="25:29" ht="15.95" customHeight="1" x14ac:dyDescent="0.25">
      <c r="Y30" s="101" t="s">
        <v>390</v>
      </c>
      <c r="Z30" s="105">
        <f>'Detailed Analysis'!E56</f>
        <v>-1.8011554426953535</v>
      </c>
      <c r="AA30" s="105">
        <f>'Detailed Analysis'!F56</f>
        <v>4.23477475581742</v>
      </c>
      <c r="AB30" s="105">
        <f>'Detailed Analysis'!G56</f>
        <v>4.3240300980804154</v>
      </c>
      <c r="AC30" s="105">
        <f>'Detailed Analysis'!H56</f>
        <v>7.2424745471644112</v>
      </c>
    </row>
    <row r="31" spans="25:29" ht="15.95" customHeight="1" x14ac:dyDescent="0.25">
      <c r="Y31" s="101" t="s">
        <v>391</v>
      </c>
      <c r="Z31" s="106">
        <f>'Detailed Analysis'!E62</f>
        <v>85.090237909396961</v>
      </c>
      <c r="AA31" s="106">
        <f>'Detailed Analysis'!F62</f>
        <v>52.049835722728055</v>
      </c>
      <c r="AB31" s="106">
        <f>'Detailed Analysis'!G62</f>
        <v>48.870134055555035</v>
      </c>
      <c r="AC31" s="106">
        <f>'Detailed Analysis'!H62</f>
        <v>73.104247391889942</v>
      </c>
    </row>
    <row r="32" spans="25:29" ht="15.95" customHeight="1" x14ac:dyDescent="0.25">
      <c r="Y32" s="101" t="s">
        <v>392</v>
      </c>
      <c r="Z32" s="106">
        <f>'Detailed Analysis'!E63</f>
        <v>151.71421118524859</v>
      </c>
      <c r="AA32" s="106">
        <f>'Detailed Analysis'!F63</f>
        <v>112.88795861033073</v>
      </c>
      <c r="AB32" s="106">
        <f>'Detailed Analysis'!G63</f>
        <v>105.53861897355611</v>
      </c>
      <c r="AC32" s="106">
        <f>'Detailed Analysis'!H63</f>
        <v>110.30562579992784</v>
      </c>
    </row>
    <row r="33" spans="2:29" ht="15.95" customHeight="1" x14ac:dyDescent="0.25">
      <c r="Y33" s="101" t="s">
        <v>393</v>
      </c>
      <c r="Z33" s="106">
        <f>'Detailed Analysis'!E64</f>
        <v>140.88316042404134</v>
      </c>
      <c r="AA33" s="106">
        <f>'Detailed Analysis'!F64</f>
        <v>133.35478516191296</v>
      </c>
      <c r="AB33" s="106">
        <f>'Detailed Analysis'!G64</f>
        <v>154.58965227387702</v>
      </c>
      <c r="AC33" s="106">
        <f>'Detailed Analysis'!H64</f>
        <v>132.84881876449705</v>
      </c>
    </row>
    <row r="34" spans="2:29" ht="15.95" customHeight="1" x14ac:dyDescent="0.25">
      <c r="Y34" s="101" t="s">
        <v>394</v>
      </c>
      <c r="Z34" s="106">
        <f>'Detailed Analysis'!E65</f>
        <v>95.921288670604213</v>
      </c>
      <c r="AA34" s="106">
        <f>'Detailed Analysis'!F65</f>
        <v>31.583009171145818</v>
      </c>
      <c r="AB34" s="106">
        <f>'Detailed Analysis'!G65</f>
        <v>-0.18089924476586816</v>
      </c>
      <c r="AC34" s="106">
        <f>'Detailed Analysis'!H65</f>
        <v>50.561054427320727</v>
      </c>
    </row>
    <row r="35" spans="2:29" ht="15.95" customHeight="1" x14ac:dyDescent="0.25">
      <c r="Y35" s="101" t="s">
        <v>175</v>
      </c>
      <c r="Z35" s="104">
        <f>'Detailed Analysis'!E75</f>
        <v>-4.8872008270786804E-2</v>
      </c>
      <c r="AA35" s="104">
        <f>'Detailed Analysis'!F75</f>
        <v>7.9780079593505682E-3</v>
      </c>
      <c r="AB35" s="104">
        <f>'Detailed Analysis'!G75</f>
        <v>8.2583745590374142E-3</v>
      </c>
      <c r="AC35" s="104">
        <f>'Detailed Analysis'!H75</f>
        <v>4.7682248550352021E-3</v>
      </c>
    </row>
    <row r="36" spans="2:29" ht="15.95" customHeight="1" x14ac:dyDescent="0.25">
      <c r="Y36" s="101" t="s">
        <v>176</v>
      </c>
      <c r="Z36" s="104">
        <f>'Detailed Analysis'!E76</f>
        <v>-0.10394655783151086</v>
      </c>
      <c r="AA36" s="104">
        <f>'Detailed Analysis'!F76</f>
        <v>1.6948241759498158E-2</v>
      </c>
      <c r="AB36" s="104">
        <f>'Detailed Analysis'!G76</f>
        <v>1.7901689765167584E-2</v>
      </c>
      <c r="AC36" s="104">
        <f>'Detailed Analysis'!H76</f>
        <v>1.1009880101461613E-2</v>
      </c>
    </row>
    <row r="37" spans="2:29" ht="15.95" customHeight="1" x14ac:dyDescent="0.25">
      <c r="Y37" s="101" t="s">
        <v>395</v>
      </c>
      <c r="Z37" s="104">
        <f>'Detailed Analysis'!E77</f>
        <v>-9.2365335550268046E-2</v>
      </c>
      <c r="AA37" s="104">
        <f>'Detailed Analysis'!F77</f>
        <v>2.3694725055088756E-2</v>
      </c>
      <c r="AB37" s="104">
        <f>'Detailed Analysis'!G77</f>
        <v>2.8236886621368924E-2</v>
      </c>
      <c r="AC37" s="104">
        <f>'Detailed Analysis'!H77</f>
        <v>2.7950504404798029E-2</v>
      </c>
    </row>
    <row r="38" spans="2:29" ht="15.95" customHeight="1" x14ac:dyDescent="0.25"/>
    <row r="39" spans="2:29" ht="9.9499999999999993" customHeight="1" x14ac:dyDescent="0.25"/>
    <row r="40" spans="2:29" ht="21.95" customHeight="1" x14ac:dyDescent="0.25">
      <c r="B40" s="175" t="s">
        <v>396</v>
      </c>
      <c r="C40" s="175"/>
      <c r="D40" s="175"/>
      <c r="E40" s="175"/>
      <c r="F40" s="175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</row>
    <row r="41" spans="2:29" ht="15.95" customHeight="1" x14ac:dyDescent="0.25"/>
    <row r="42" spans="2:29" ht="15.95" customHeight="1" x14ac:dyDescent="0.25"/>
    <row r="43" spans="2:29" ht="15.95" customHeight="1" x14ac:dyDescent="0.25"/>
    <row r="44" spans="2:29" ht="15.95" customHeight="1" x14ac:dyDescent="0.25"/>
    <row r="45" spans="2:29" ht="15.95" customHeight="1" x14ac:dyDescent="0.25"/>
    <row r="46" spans="2:29" ht="15.95" customHeight="1" x14ac:dyDescent="0.25"/>
    <row r="47" spans="2:29" ht="15.95" customHeight="1" x14ac:dyDescent="0.25"/>
    <row r="48" spans="2:29" ht="15.95" customHeight="1" x14ac:dyDescent="0.25"/>
    <row r="49" spans="2:20" ht="15.95" customHeight="1" x14ac:dyDescent="0.25"/>
    <row r="50" spans="2:20" ht="15.95" customHeight="1" x14ac:dyDescent="0.25"/>
    <row r="51" spans="2:20" ht="15.95" customHeight="1" x14ac:dyDescent="0.25"/>
    <row r="52" spans="2:20" ht="15.95" customHeight="1" x14ac:dyDescent="0.25"/>
    <row r="53" spans="2:20" ht="15.95" customHeight="1" x14ac:dyDescent="0.25"/>
    <row r="54" spans="2:20" ht="15.95" customHeight="1" x14ac:dyDescent="0.25"/>
    <row r="55" spans="2:20" ht="15.95" customHeight="1" x14ac:dyDescent="0.25"/>
    <row r="56" spans="2:20" ht="15.95" customHeight="1" x14ac:dyDescent="0.25"/>
    <row r="57" spans="2:20" ht="15.95" customHeight="1" x14ac:dyDescent="0.25"/>
    <row r="58" spans="2:20" ht="15.95" customHeight="1" x14ac:dyDescent="0.25"/>
    <row r="59" spans="2:20" ht="15.95" customHeight="1" x14ac:dyDescent="0.25"/>
    <row r="60" spans="2:20" ht="15.95" customHeight="1" x14ac:dyDescent="0.25"/>
    <row r="61" spans="2:20" ht="9.9499999999999993" customHeight="1" x14ac:dyDescent="0.25"/>
    <row r="62" spans="2:20" ht="22.5" customHeight="1" thickBot="1" x14ac:dyDescent="0.3">
      <c r="B62" s="176" t="s">
        <v>397</v>
      </c>
      <c r="C62" s="176"/>
      <c r="D62" s="176"/>
      <c r="E62" s="176"/>
      <c r="F62" s="176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</row>
    <row r="63" spans="2:20" ht="21.95" customHeight="1" x14ac:dyDescent="0.25">
      <c r="B63" s="112" t="s">
        <v>398</v>
      </c>
      <c r="C63" s="113"/>
      <c r="D63" s="113"/>
      <c r="E63" s="113"/>
      <c r="F63" s="114"/>
      <c r="H63" s="115" t="s">
        <v>400</v>
      </c>
      <c r="I63" s="116"/>
      <c r="J63" s="116"/>
      <c r="K63" s="116"/>
      <c r="L63" s="117"/>
      <c r="N63" s="115" t="s">
        <v>402</v>
      </c>
      <c r="O63" s="116"/>
      <c r="P63" s="116"/>
      <c r="Q63" s="116"/>
      <c r="R63" s="117"/>
    </row>
    <row r="64" spans="2:20" ht="70.5" customHeight="1" thickBot="1" x14ac:dyDescent="0.3">
      <c r="B64" s="118" t="s">
        <v>399</v>
      </c>
      <c r="C64" s="119"/>
      <c r="D64" s="119"/>
      <c r="E64" s="119"/>
      <c r="F64" s="120"/>
      <c r="H64" s="121" t="s">
        <v>401</v>
      </c>
      <c r="I64" s="122"/>
      <c r="J64" s="122"/>
      <c r="K64" s="122"/>
      <c r="L64" s="123"/>
      <c r="N64" s="121" t="s">
        <v>403</v>
      </c>
      <c r="O64" s="122"/>
      <c r="P64" s="122"/>
      <c r="Q64" s="122"/>
      <c r="R64" s="123"/>
    </row>
    <row r="65" spans="2:18" ht="8.1" customHeight="1" thickBot="1" x14ac:dyDescent="0.3"/>
    <row r="66" spans="2:18" ht="21.95" customHeight="1" x14ac:dyDescent="0.25">
      <c r="B66" s="124" t="s">
        <v>404</v>
      </c>
      <c r="C66" s="125"/>
      <c r="D66" s="125"/>
      <c r="E66" s="125"/>
      <c r="F66" s="126"/>
      <c r="H66" s="124" t="s">
        <v>406</v>
      </c>
      <c r="I66" s="125"/>
      <c r="J66" s="125"/>
      <c r="K66" s="125"/>
      <c r="L66" s="126"/>
      <c r="N66" s="112" t="s">
        <v>408</v>
      </c>
      <c r="O66" s="113"/>
      <c r="P66" s="113"/>
      <c r="Q66" s="113"/>
      <c r="R66" s="114"/>
    </row>
    <row r="67" spans="2:18" ht="60" customHeight="1" thickBot="1" x14ac:dyDescent="0.3">
      <c r="B67" s="127" t="s">
        <v>405</v>
      </c>
      <c r="C67" s="128"/>
      <c r="D67" s="128"/>
      <c r="E67" s="128"/>
      <c r="F67" s="129"/>
      <c r="H67" s="127" t="s">
        <v>407</v>
      </c>
      <c r="I67" s="128"/>
      <c r="J67" s="128"/>
      <c r="K67" s="128"/>
      <c r="L67" s="129"/>
      <c r="N67" s="118" t="s">
        <v>409</v>
      </c>
      <c r="O67" s="119"/>
      <c r="P67" s="119"/>
      <c r="Q67" s="119"/>
      <c r="R67" s="120"/>
    </row>
    <row r="68" spans="2:18" ht="8.1" customHeight="1" thickBot="1" x14ac:dyDescent="0.3"/>
    <row r="69" spans="2:18" ht="21.95" customHeight="1" x14ac:dyDescent="0.25">
      <c r="B69" s="130" t="s">
        <v>410</v>
      </c>
      <c r="C69" s="131"/>
      <c r="D69" s="131"/>
      <c r="E69" s="131"/>
      <c r="F69" s="132"/>
      <c r="H69" s="130" t="s">
        <v>412</v>
      </c>
      <c r="I69" s="131"/>
      <c r="J69" s="131"/>
      <c r="K69" s="131"/>
      <c r="L69" s="132"/>
      <c r="N69" s="130" t="s">
        <v>414</v>
      </c>
      <c r="O69" s="131"/>
      <c r="P69" s="131"/>
      <c r="Q69" s="131"/>
      <c r="R69" s="132"/>
    </row>
    <row r="70" spans="2:18" ht="74.25" customHeight="1" thickBot="1" x14ac:dyDescent="0.3">
      <c r="B70" s="133" t="s">
        <v>411</v>
      </c>
      <c r="C70" s="134"/>
      <c r="D70" s="134"/>
      <c r="E70" s="134"/>
      <c r="F70" s="135"/>
      <c r="H70" s="133" t="s">
        <v>413</v>
      </c>
      <c r="I70" s="134"/>
      <c r="J70" s="134"/>
      <c r="K70" s="134"/>
      <c r="L70" s="135"/>
      <c r="N70" s="133" t="s">
        <v>415</v>
      </c>
      <c r="O70" s="134"/>
      <c r="P70" s="134"/>
      <c r="Q70" s="134"/>
      <c r="R70" s="135"/>
    </row>
    <row r="71" spans="2:18" ht="8.1" customHeight="1" x14ac:dyDescent="0.25"/>
    <row r="72" spans="2:18" ht="21.95" customHeight="1" x14ac:dyDescent="0.25">
      <c r="B72" s="107" t="s">
        <v>416</v>
      </c>
    </row>
    <row r="73" spans="2:18" ht="50.1" customHeight="1" x14ac:dyDescent="0.25">
      <c r="B73" s="136" t="s">
        <v>417</v>
      </c>
      <c r="C73" s="136"/>
      <c r="D73" s="136"/>
      <c r="E73" s="136"/>
      <c r="F73" s="136"/>
      <c r="G73" s="136"/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</row>
    <row r="74" spans="2:18" ht="15.95" customHeight="1" x14ac:dyDescent="0.25"/>
    <row r="75" spans="2:18" ht="15.95" customHeight="1" x14ac:dyDescent="0.25"/>
    <row r="76" spans="2:18" ht="15.95" customHeight="1" x14ac:dyDescent="0.25"/>
    <row r="77" spans="2:18" ht="15.95" customHeight="1" x14ac:dyDescent="0.25"/>
    <row r="78" spans="2:18" ht="15.95" customHeight="1" x14ac:dyDescent="0.25"/>
    <row r="79" spans="2:18" ht="15.95" customHeight="1" x14ac:dyDescent="0.25"/>
    <row r="80" spans="2:18" ht="15.95" customHeight="1" x14ac:dyDescent="0.25"/>
  </sheetData>
  <mergeCells count="56">
    <mergeCell ref="E4:J4"/>
    <mergeCell ref="B16:G16"/>
    <mergeCell ref="B40:F40"/>
    <mergeCell ref="B62:F62"/>
    <mergeCell ref="Q9:T9"/>
    <mergeCell ref="Q8:T8"/>
    <mergeCell ref="B6:E6"/>
    <mergeCell ref="G6:J6"/>
    <mergeCell ref="L6:O6"/>
    <mergeCell ref="Q6:T6"/>
    <mergeCell ref="Q7:T7"/>
    <mergeCell ref="L7:O7"/>
    <mergeCell ref="G7:J7"/>
    <mergeCell ref="B7:E7"/>
    <mergeCell ref="G8:J8"/>
    <mergeCell ref="G9:J9"/>
    <mergeCell ref="B9:E9"/>
    <mergeCell ref="B8:E8"/>
    <mergeCell ref="L8:O8"/>
    <mergeCell ref="L9:O9"/>
    <mergeCell ref="L12:O12"/>
    <mergeCell ref="L13:O13"/>
    <mergeCell ref="L14:O14"/>
    <mergeCell ref="Q12:T12"/>
    <mergeCell ref="Q13:T13"/>
    <mergeCell ref="Q14:T14"/>
    <mergeCell ref="B12:E12"/>
    <mergeCell ref="B13:E13"/>
    <mergeCell ref="B14:E14"/>
    <mergeCell ref="G14:J14"/>
    <mergeCell ref="G13:J13"/>
    <mergeCell ref="G12:J12"/>
    <mergeCell ref="B70:F70"/>
    <mergeCell ref="H70:L70"/>
    <mergeCell ref="N70:R70"/>
    <mergeCell ref="B73:R73"/>
    <mergeCell ref="B1:H1"/>
    <mergeCell ref="B11:E11"/>
    <mergeCell ref="G11:J11"/>
    <mergeCell ref="L11:O11"/>
    <mergeCell ref="Q11:T11"/>
    <mergeCell ref="B69:F69"/>
    <mergeCell ref="H69:L69"/>
    <mergeCell ref="N69:R69"/>
    <mergeCell ref="B64:F64"/>
    <mergeCell ref="H64:L64"/>
    <mergeCell ref="N64:R64"/>
    <mergeCell ref="B67:F67"/>
    <mergeCell ref="H67:L67"/>
    <mergeCell ref="N67:R67"/>
    <mergeCell ref="B63:F63"/>
    <mergeCell ref="H63:L63"/>
    <mergeCell ref="N63:R63"/>
    <mergeCell ref="B66:F66"/>
    <mergeCell ref="H66:L66"/>
    <mergeCell ref="N66:R66"/>
  </mergeCells>
  <dataValidations count="2">
    <dataValidation type="list" allowBlank="1" showInputMessage="1" showErrorMessage="1" sqref="C5" xr:uid="{13F3522D-D9AB-4951-8F01-4C859B8E9174}">
      <formula1>"FY2021, FY2022, FY2023, FY2024"</formula1>
    </dataValidation>
    <dataValidation type="list" allowBlank="1" showInputMessage="1" showErrorMessage="1" sqref="C4" xr:uid="{F49D6698-337C-4E04-ADC3-CC1EA09DFA8F}">
      <formula1>"FY2021, FY2022, FY2023, FY2024"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63885-034C-45D1-B176-19D09DE75904}">
  <dimension ref="A1:S277"/>
  <sheetViews>
    <sheetView workbookViewId="0"/>
  </sheetViews>
  <sheetFormatPr defaultRowHeight="15.75" x14ac:dyDescent="0.25"/>
  <sheetData>
    <row r="1" spans="1:7" x14ac:dyDescent="0.25">
      <c r="A1" s="29"/>
      <c r="B1" s="29"/>
      <c r="C1" s="29"/>
      <c r="D1" s="29"/>
      <c r="E1" s="29"/>
      <c r="F1" s="29"/>
      <c r="G1" s="29"/>
    </row>
    <row r="2" spans="1:7" x14ac:dyDescent="0.25">
      <c r="A2" s="29"/>
      <c r="B2" s="29"/>
      <c r="C2" s="29"/>
      <c r="D2" s="29"/>
      <c r="E2" s="29"/>
      <c r="F2" s="29"/>
      <c r="G2" s="29"/>
    </row>
    <row r="3" spans="1:7" x14ac:dyDescent="0.25">
      <c r="A3" s="29"/>
      <c r="B3" s="29"/>
      <c r="C3" s="29"/>
      <c r="D3" s="29"/>
      <c r="E3" s="29"/>
      <c r="F3" s="29"/>
      <c r="G3" s="29"/>
    </row>
    <row r="4" spans="1:7" x14ac:dyDescent="0.25">
      <c r="A4" s="29"/>
      <c r="B4" s="29"/>
      <c r="C4" s="29"/>
      <c r="D4" s="29"/>
      <c r="E4" s="29"/>
      <c r="F4" s="29"/>
      <c r="G4" s="29"/>
    </row>
    <row r="5" spans="1:7" x14ac:dyDescent="0.25">
      <c r="A5" s="29"/>
      <c r="B5" s="29"/>
      <c r="C5" s="29"/>
      <c r="D5" s="29"/>
      <c r="E5" s="29"/>
    </row>
    <row r="6" spans="1:7" x14ac:dyDescent="0.25">
      <c r="A6" s="29"/>
      <c r="B6" s="29"/>
      <c r="C6" s="29"/>
      <c r="D6" s="29"/>
      <c r="E6" s="29"/>
      <c r="F6" s="29"/>
    </row>
    <row r="7" spans="1:7" x14ac:dyDescent="0.25">
      <c r="A7" s="29"/>
      <c r="B7" s="29"/>
      <c r="C7" s="29"/>
      <c r="D7" s="29"/>
      <c r="E7" s="29"/>
    </row>
    <row r="8" spans="1:7" x14ac:dyDescent="0.25">
      <c r="A8" s="29"/>
      <c r="B8" s="29"/>
      <c r="C8" s="29"/>
      <c r="D8" s="29"/>
      <c r="E8" s="29"/>
      <c r="F8" s="29"/>
      <c r="G8" s="29"/>
    </row>
    <row r="9" spans="1:7" x14ac:dyDescent="0.25">
      <c r="A9" s="29"/>
      <c r="B9" s="29"/>
      <c r="C9" s="29"/>
      <c r="D9" s="29"/>
      <c r="E9" s="29"/>
      <c r="F9" s="29"/>
    </row>
    <row r="10" spans="1:7" x14ac:dyDescent="0.25">
      <c r="A10" s="29"/>
      <c r="B10" s="29"/>
      <c r="C10" s="29"/>
      <c r="D10" s="29"/>
      <c r="E10" s="29"/>
    </row>
    <row r="11" spans="1:7" x14ac:dyDescent="0.25">
      <c r="A11" s="29"/>
      <c r="B11" s="29"/>
      <c r="C11" s="29"/>
      <c r="D11" s="29"/>
      <c r="E11" s="29"/>
      <c r="F11" s="29"/>
      <c r="G11" s="29"/>
    </row>
    <row r="12" spans="1:7" x14ac:dyDescent="0.25">
      <c r="A12" s="29"/>
      <c r="B12" s="29"/>
      <c r="C12" s="29"/>
      <c r="D12" s="29"/>
      <c r="E12" s="29"/>
      <c r="F12" s="29"/>
    </row>
    <row r="13" spans="1:7" x14ac:dyDescent="0.25">
      <c r="A13" s="29"/>
      <c r="B13" s="29"/>
      <c r="C13" s="29"/>
      <c r="D13" s="29"/>
      <c r="E13" s="29"/>
    </row>
    <row r="14" spans="1:7" x14ac:dyDescent="0.25">
      <c r="A14" s="29"/>
      <c r="B14" s="29"/>
      <c r="C14" s="29"/>
      <c r="D14" s="29"/>
      <c r="E14" s="29"/>
    </row>
    <row r="15" spans="1:7" x14ac:dyDescent="0.25">
      <c r="A15" s="29"/>
      <c r="B15" s="29"/>
      <c r="C15" s="29"/>
      <c r="D15" s="29"/>
      <c r="E15" s="29"/>
      <c r="F15" s="29"/>
      <c r="G15" s="29"/>
    </row>
    <row r="16" spans="1:7" x14ac:dyDescent="0.25">
      <c r="A16" s="29"/>
      <c r="B16" s="29"/>
      <c r="C16" s="29"/>
      <c r="D16" s="29"/>
      <c r="E16" s="29"/>
      <c r="F16" s="29"/>
    </row>
    <row r="17" spans="1:7" x14ac:dyDescent="0.25">
      <c r="A17" s="29"/>
      <c r="B17" s="29"/>
      <c r="C17" s="29"/>
      <c r="D17" s="29"/>
      <c r="E17" s="29"/>
    </row>
    <row r="18" spans="1:7" x14ac:dyDescent="0.25">
      <c r="A18" s="29"/>
      <c r="B18" s="29"/>
      <c r="C18" s="29"/>
      <c r="D18" s="29"/>
      <c r="E18" s="29"/>
      <c r="F18" s="29"/>
      <c r="G18" s="29"/>
    </row>
    <row r="19" spans="1:7" x14ac:dyDescent="0.25">
      <c r="A19" s="29"/>
      <c r="B19" s="29"/>
      <c r="C19" s="29"/>
      <c r="D19" s="29"/>
      <c r="E19" s="29"/>
      <c r="F19" s="29"/>
    </row>
    <row r="20" spans="1:7" x14ac:dyDescent="0.25">
      <c r="A20" s="29"/>
      <c r="B20" s="29"/>
      <c r="C20" s="29"/>
      <c r="D20" s="29"/>
      <c r="E20" s="29"/>
    </row>
    <row r="21" spans="1:7" x14ac:dyDescent="0.25">
      <c r="A21" s="29"/>
      <c r="B21" s="29"/>
      <c r="C21" s="29"/>
      <c r="D21" s="29"/>
      <c r="E21" s="29"/>
      <c r="F21" s="29"/>
      <c r="G21" s="29"/>
    </row>
    <row r="22" spans="1:7" x14ac:dyDescent="0.25">
      <c r="A22" s="29"/>
      <c r="B22" s="29"/>
      <c r="C22" s="29"/>
      <c r="D22" s="29"/>
      <c r="E22" s="29"/>
      <c r="F22" s="29"/>
    </row>
    <row r="23" spans="1:7" x14ac:dyDescent="0.25">
      <c r="A23" s="29"/>
      <c r="B23" s="29"/>
      <c r="C23" s="29"/>
      <c r="D23" s="29"/>
      <c r="E23" s="29"/>
    </row>
    <row r="24" spans="1:7" x14ac:dyDescent="0.25">
      <c r="A24" s="29"/>
      <c r="B24" s="29"/>
      <c r="C24" s="29"/>
      <c r="D24" s="29"/>
      <c r="E24" s="29"/>
      <c r="F24" s="29"/>
    </row>
    <row r="25" spans="1:7" x14ac:dyDescent="0.25">
      <c r="A25" s="29"/>
      <c r="B25" s="29"/>
      <c r="C25" s="29"/>
      <c r="D25" s="29"/>
      <c r="E25" s="29"/>
      <c r="F25" s="29"/>
      <c r="G25" s="29"/>
    </row>
    <row r="26" spans="1:7" x14ac:dyDescent="0.25">
      <c r="A26" s="29"/>
      <c r="B26" s="29"/>
      <c r="C26" s="29"/>
      <c r="D26" s="29"/>
      <c r="E26" s="29"/>
      <c r="F26" s="29"/>
    </row>
    <row r="27" spans="1:7" x14ac:dyDescent="0.25">
      <c r="A27" s="29"/>
      <c r="B27" s="29"/>
      <c r="C27" s="29"/>
      <c r="D27" s="29"/>
      <c r="E27" s="29"/>
    </row>
    <row r="28" spans="1:7" x14ac:dyDescent="0.25">
      <c r="A28" s="29"/>
      <c r="B28" s="29"/>
      <c r="C28" s="29"/>
      <c r="D28" s="29"/>
      <c r="E28" s="29"/>
      <c r="F28" s="29"/>
      <c r="G28" s="29"/>
    </row>
    <row r="29" spans="1:7" x14ac:dyDescent="0.25">
      <c r="A29" s="29"/>
      <c r="B29" s="29"/>
      <c r="C29" s="29"/>
      <c r="D29" s="29"/>
      <c r="E29" s="29"/>
      <c r="F29" s="29"/>
      <c r="G29" s="29"/>
    </row>
    <row r="30" spans="1:7" x14ac:dyDescent="0.25">
      <c r="A30" s="29"/>
      <c r="B30" s="29"/>
      <c r="C30" s="29"/>
      <c r="D30" s="29"/>
      <c r="E30" s="29"/>
      <c r="F30" s="29"/>
    </row>
    <row r="31" spans="1:7" x14ac:dyDescent="0.25">
      <c r="A31" s="29"/>
      <c r="B31" s="29"/>
      <c r="C31" s="29"/>
      <c r="D31" s="29"/>
      <c r="E31" s="29"/>
    </row>
    <row r="32" spans="1:7" x14ac:dyDescent="0.25">
      <c r="A32" s="29"/>
      <c r="B32" s="29"/>
      <c r="C32" s="29"/>
      <c r="D32" s="29"/>
      <c r="E32" s="29"/>
      <c r="F32" s="29"/>
    </row>
    <row r="33" spans="1:7" x14ac:dyDescent="0.25">
      <c r="A33" s="29"/>
      <c r="B33" s="29"/>
      <c r="C33" s="29"/>
      <c r="D33" s="29"/>
      <c r="E33" s="29"/>
    </row>
    <row r="34" spans="1:7" x14ac:dyDescent="0.25">
      <c r="A34" s="29"/>
      <c r="B34" s="29"/>
      <c r="C34" s="29"/>
      <c r="D34" s="29"/>
      <c r="E34" s="29"/>
      <c r="F34" s="29"/>
    </row>
    <row r="35" spans="1:7" x14ac:dyDescent="0.25">
      <c r="A35" s="29"/>
      <c r="B35" s="29"/>
      <c r="C35" s="29"/>
      <c r="D35" s="29"/>
      <c r="E35" s="29"/>
    </row>
    <row r="36" spans="1:7" x14ac:dyDescent="0.25">
      <c r="A36" s="29"/>
      <c r="B36" s="29"/>
      <c r="C36" s="29"/>
      <c r="D36" s="29"/>
      <c r="E36" s="29"/>
    </row>
    <row r="37" spans="1:7" x14ac:dyDescent="0.25">
      <c r="A37" s="29"/>
      <c r="B37" s="29"/>
      <c r="C37" s="29"/>
      <c r="D37" s="29"/>
      <c r="E37" s="29"/>
      <c r="F37" s="29"/>
      <c r="G37" s="29"/>
    </row>
    <row r="38" spans="1:7" x14ac:dyDescent="0.25">
      <c r="A38" s="29"/>
      <c r="B38" s="29"/>
      <c r="C38" s="29"/>
      <c r="D38" s="29"/>
      <c r="E38" s="29"/>
    </row>
    <row r="39" spans="1:7" x14ac:dyDescent="0.25">
      <c r="A39" s="29"/>
      <c r="B39" s="29"/>
      <c r="C39" s="29"/>
      <c r="D39" s="29"/>
      <c r="E39" s="29"/>
      <c r="F39" s="29"/>
      <c r="G39" s="29"/>
    </row>
    <row r="40" spans="1:7" x14ac:dyDescent="0.25">
      <c r="A40" s="29"/>
      <c r="B40" s="29"/>
      <c r="C40" s="29"/>
      <c r="D40" s="29"/>
      <c r="E40" s="29"/>
      <c r="F40" s="29"/>
    </row>
    <row r="41" spans="1:7" x14ac:dyDescent="0.25">
      <c r="A41" s="29"/>
      <c r="B41" s="29"/>
      <c r="C41" s="29"/>
      <c r="D41" s="29"/>
      <c r="E41" s="29"/>
      <c r="F41" s="29"/>
      <c r="G41" s="29"/>
    </row>
    <row r="42" spans="1:7" x14ac:dyDescent="0.25">
      <c r="A42" s="29"/>
      <c r="B42" s="29"/>
      <c r="C42" s="29"/>
      <c r="D42" s="29"/>
      <c r="E42" s="29"/>
      <c r="F42" s="29"/>
      <c r="G42" s="29"/>
    </row>
    <row r="43" spans="1:7" x14ac:dyDescent="0.25">
      <c r="A43" s="29"/>
      <c r="B43" s="29"/>
      <c r="C43" s="29"/>
      <c r="D43" s="29"/>
      <c r="E43" s="29"/>
    </row>
    <row r="44" spans="1:7" x14ac:dyDescent="0.25">
      <c r="A44" s="29"/>
      <c r="B44" s="29"/>
      <c r="C44" s="29"/>
      <c r="D44" s="29"/>
      <c r="E44" s="29"/>
      <c r="F44" s="29"/>
      <c r="G44" s="29"/>
    </row>
    <row r="45" spans="1:7" x14ac:dyDescent="0.25">
      <c r="A45" s="29"/>
      <c r="B45" s="29"/>
      <c r="C45" s="29"/>
      <c r="D45" s="29"/>
      <c r="E45" s="29"/>
    </row>
    <row r="46" spans="1:7" x14ac:dyDescent="0.25">
      <c r="A46" s="29"/>
      <c r="B46" s="29"/>
      <c r="C46" s="29"/>
      <c r="D46" s="29"/>
      <c r="E46" s="29"/>
    </row>
    <row r="47" spans="1:7" x14ac:dyDescent="0.25">
      <c r="A47" s="29"/>
      <c r="B47" s="29"/>
      <c r="C47" s="29"/>
      <c r="D47" s="29"/>
      <c r="E47" s="29"/>
    </row>
    <row r="48" spans="1:7" x14ac:dyDescent="0.25">
      <c r="A48" s="29"/>
      <c r="B48" s="29"/>
      <c r="C48" s="29"/>
      <c r="D48" s="29"/>
      <c r="E48" s="29"/>
    </row>
    <row r="49" spans="1:7" x14ac:dyDescent="0.25">
      <c r="A49" s="29"/>
      <c r="B49" s="29"/>
      <c r="C49" s="29"/>
      <c r="D49" s="29"/>
      <c r="E49" s="29"/>
    </row>
    <row r="50" spans="1:7" x14ac:dyDescent="0.25">
      <c r="A50" s="29"/>
      <c r="B50" s="29"/>
      <c r="C50" s="29"/>
      <c r="D50" s="29"/>
      <c r="E50" s="29"/>
      <c r="F50" s="29"/>
      <c r="G50" s="29"/>
    </row>
    <row r="51" spans="1:7" x14ac:dyDescent="0.25">
      <c r="A51" s="29"/>
      <c r="B51" s="29"/>
      <c r="C51" s="29"/>
      <c r="D51" s="29"/>
      <c r="E51" s="29"/>
    </row>
    <row r="52" spans="1:7" x14ac:dyDescent="0.25">
      <c r="A52" s="29"/>
      <c r="B52" s="29"/>
      <c r="C52" s="29"/>
      <c r="D52" s="29"/>
      <c r="E52" s="29"/>
    </row>
    <row r="53" spans="1:7" x14ac:dyDescent="0.25">
      <c r="A53" s="29"/>
      <c r="B53" s="29"/>
      <c r="C53" s="29"/>
      <c r="D53" s="29"/>
      <c r="E53" s="29"/>
    </row>
    <row r="54" spans="1:7" x14ac:dyDescent="0.25">
      <c r="A54" s="29"/>
      <c r="B54" s="29"/>
      <c r="C54" s="29"/>
      <c r="D54" s="29"/>
      <c r="E54" s="29"/>
    </row>
    <row r="55" spans="1:7" x14ac:dyDescent="0.25">
      <c r="A55" s="29"/>
      <c r="B55" s="29"/>
      <c r="C55" s="29"/>
      <c r="D55" s="29"/>
      <c r="E55" s="29"/>
    </row>
    <row r="56" spans="1:7" x14ac:dyDescent="0.25">
      <c r="A56" s="29"/>
      <c r="B56" s="29"/>
      <c r="C56" s="29"/>
      <c r="D56" s="29"/>
      <c r="E56" s="29"/>
      <c r="F56" s="29"/>
      <c r="G56" s="29"/>
    </row>
    <row r="57" spans="1:7" x14ac:dyDescent="0.25">
      <c r="A57" s="29"/>
      <c r="B57" s="29"/>
      <c r="C57" s="29"/>
      <c r="D57" s="29"/>
      <c r="E57" s="29"/>
    </row>
    <row r="58" spans="1:7" x14ac:dyDescent="0.25">
      <c r="A58" s="29"/>
      <c r="B58" s="29"/>
      <c r="C58" s="29"/>
      <c r="D58" s="29"/>
      <c r="E58" s="29"/>
    </row>
    <row r="59" spans="1:7" x14ac:dyDescent="0.25">
      <c r="A59" s="29"/>
      <c r="B59" s="29"/>
      <c r="C59" s="29"/>
      <c r="D59" s="29"/>
      <c r="E59" s="29"/>
    </row>
    <row r="60" spans="1:7" x14ac:dyDescent="0.25">
      <c r="A60" s="29"/>
      <c r="B60" s="29"/>
      <c r="C60" s="29"/>
      <c r="D60" s="29"/>
      <c r="E60" s="29"/>
    </row>
    <row r="61" spans="1:7" x14ac:dyDescent="0.25">
      <c r="A61" s="29"/>
      <c r="B61" s="29"/>
      <c r="C61" s="29"/>
      <c r="D61" s="29"/>
      <c r="E61" s="29"/>
    </row>
    <row r="62" spans="1:7" x14ac:dyDescent="0.25">
      <c r="A62" s="29"/>
      <c r="B62" s="29"/>
      <c r="C62" s="29"/>
      <c r="D62" s="29"/>
      <c r="E62" s="29"/>
    </row>
    <row r="63" spans="1:7" x14ac:dyDescent="0.25">
      <c r="A63" s="29"/>
      <c r="B63" s="29"/>
      <c r="C63" s="29"/>
      <c r="D63" s="29"/>
      <c r="E63" s="29"/>
      <c r="F63" s="29"/>
      <c r="G63" s="29"/>
    </row>
    <row r="64" spans="1:7" x14ac:dyDescent="0.25">
      <c r="A64" s="29"/>
      <c r="B64" s="29"/>
      <c r="C64" s="29"/>
      <c r="D64" s="29"/>
      <c r="E64" s="29"/>
    </row>
    <row r="65" spans="1:7" x14ac:dyDescent="0.25">
      <c r="A65" s="29"/>
      <c r="B65" s="29"/>
      <c r="C65" s="29"/>
      <c r="D65" s="29"/>
      <c r="E65" s="29"/>
    </row>
    <row r="66" spans="1:7" x14ac:dyDescent="0.25">
      <c r="A66" s="29"/>
      <c r="B66" s="29"/>
      <c r="C66" s="29"/>
      <c r="D66" s="29"/>
      <c r="E66" s="29"/>
    </row>
    <row r="67" spans="1:7" x14ac:dyDescent="0.25">
      <c r="A67" s="29"/>
      <c r="B67" s="29"/>
      <c r="C67" s="29"/>
      <c r="D67" s="29"/>
      <c r="E67" s="29"/>
    </row>
    <row r="68" spans="1:7" x14ac:dyDescent="0.25">
      <c r="A68" s="29"/>
    </row>
    <row r="69" spans="1:7" x14ac:dyDescent="0.25">
      <c r="A69" s="29"/>
      <c r="B69" s="29"/>
      <c r="C69" s="29"/>
      <c r="D69" s="29"/>
      <c r="E69" s="29"/>
      <c r="F69" s="29"/>
      <c r="G69" s="29"/>
    </row>
    <row r="70" spans="1:7" x14ac:dyDescent="0.25">
      <c r="A70" s="29"/>
      <c r="B70" s="29"/>
      <c r="C70" s="29"/>
      <c r="D70" s="29"/>
      <c r="E70" s="29"/>
    </row>
    <row r="71" spans="1:7" x14ac:dyDescent="0.25">
      <c r="A71" s="29"/>
      <c r="B71" s="29"/>
      <c r="C71" s="29"/>
      <c r="D71" s="29"/>
      <c r="E71" s="29"/>
    </row>
    <row r="72" spans="1:7" x14ac:dyDescent="0.25">
      <c r="A72" s="29"/>
      <c r="B72" s="29"/>
      <c r="C72" s="29"/>
      <c r="D72" s="29"/>
      <c r="E72" s="29"/>
    </row>
    <row r="73" spans="1:7" x14ac:dyDescent="0.25">
      <c r="A73" s="29"/>
      <c r="B73" s="29"/>
      <c r="C73" s="29"/>
      <c r="D73" s="29"/>
      <c r="E73" s="29"/>
    </row>
    <row r="74" spans="1:7" x14ac:dyDescent="0.25">
      <c r="A74" s="29"/>
      <c r="B74" s="29"/>
      <c r="C74" s="29"/>
      <c r="D74" s="29"/>
      <c r="E74" s="29"/>
    </row>
    <row r="75" spans="1:7" x14ac:dyDescent="0.25">
      <c r="A75" s="29"/>
      <c r="B75" s="29"/>
      <c r="C75" s="29"/>
      <c r="D75" s="29"/>
      <c r="E75" s="29"/>
    </row>
    <row r="76" spans="1:7" x14ac:dyDescent="0.25">
      <c r="A76" s="29"/>
      <c r="B76" s="29"/>
      <c r="C76" s="29"/>
      <c r="D76" s="29"/>
      <c r="E76" s="29"/>
    </row>
    <row r="77" spans="1:7" x14ac:dyDescent="0.25">
      <c r="A77" s="29"/>
    </row>
    <row r="78" spans="1:7" x14ac:dyDescent="0.25">
      <c r="A78" s="29"/>
      <c r="B78" s="29"/>
      <c r="C78" s="29"/>
      <c r="D78" s="29"/>
      <c r="E78" s="29"/>
      <c r="F78" s="29"/>
      <c r="G78" s="29"/>
    </row>
    <row r="79" spans="1:7" x14ac:dyDescent="0.25">
      <c r="A79" s="29"/>
      <c r="B79" s="29"/>
      <c r="C79" s="29"/>
      <c r="D79" s="29"/>
      <c r="E79" s="29"/>
    </row>
    <row r="80" spans="1:7" x14ac:dyDescent="0.25">
      <c r="A80" s="29"/>
      <c r="B80" s="29"/>
      <c r="C80" s="29"/>
      <c r="D80" s="29"/>
      <c r="E80" s="29"/>
    </row>
    <row r="81" spans="1:7" x14ac:dyDescent="0.25">
      <c r="A81" s="29"/>
      <c r="B81" s="29"/>
      <c r="C81" s="29"/>
      <c r="D81" s="29"/>
      <c r="E81" s="29"/>
    </row>
    <row r="82" spans="1:7" x14ac:dyDescent="0.25">
      <c r="A82" s="29"/>
      <c r="B82" s="29"/>
      <c r="C82" s="29"/>
      <c r="D82" s="29"/>
      <c r="E82" s="29"/>
    </row>
    <row r="83" spans="1:7" x14ac:dyDescent="0.25">
      <c r="A83" s="29"/>
      <c r="B83" s="29"/>
      <c r="C83" s="29"/>
      <c r="D83" s="29"/>
      <c r="E83" s="29"/>
      <c r="F83" s="29"/>
      <c r="G83" s="29"/>
    </row>
    <row r="84" spans="1:7" x14ac:dyDescent="0.25">
      <c r="A84" s="29"/>
      <c r="B84" s="29"/>
      <c r="C84" s="29"/>
      <c r="D84" s="29"/>
      <c r="E84" s="29"/>
    </row>
    <row r="85" spans="1:7" x14ac:dyDescent="0.25">
      <c r="A85" s="29"/>
      <c r="B85" s="29"/>
      <c r="C85" s="29"/>
      <c r="D85" s="29"/>
      <c r="E85" s="29"/>
    </row>
    <row r="86" spans="1:7" x14ac:dyDescent="0.25">
      <c r="A86" s="29"/>
      <c r="B86" s="29"/>
      <c r="C86" s="29"/>
      <c r="D86" s="29"/>
      <c r="E86" s="29"/>
    </row>
    <row r="87" spans="1:7" x14ac:dyDescent="0.25">
      <c r="A87" s="29"/>
      <c r="B87" s="29"/>
      <c r="C87" s="29"/>
      <c r="D87" s="29"/>
      <c r="E87" s="29"/>
      <c r="F87" s="29"/>
      <c r="G87" s="29"/>
    </row>
    <row r="88" spans="1:7" x14ac:dyDescent="0.25">
      <c r="A88" s="29"/>
      <c r="B88" s="29"/>
      <c r="C88" s="29"/>
      <c r="D88" s="29"/>
      <c r="E88" s="29"/>
    </row>
    <row r="89" spans="1:7" x14ac:dyDescent="0.25">
      <c r="A89" s="29"/>
      <c r="B89" s="29"/>
      <c r="C89" s="29"/>
      <c r="D89" s="29"/>
      <c r="E89" s="29"/>
    </row>
    <row r="90" spans="1:7" x14ac:dyDescent="0.25">
      <c r="A90" s="29"/>
    </row>
    <row r="91" spans="1:7" x14ac:dyDescent="0.25">
      <c r="A91" s="29"/>
      <c r="B91" s="29"/>
      <c r="C91" s="29"/>
      <c r="D91" s="29"/>
      <c r="E91" s="29"/>
      <c r="F91" s="29"/>
      <c r="G91" s="29"/>
    </row>
    <row r="92" spans="1:7" x14ac:dyDescent="0.25">
      <c r="A92" s="29"/>
    </row>
    <row r="93" spans="1:7" x14ac:dyDescent="0.25">
      <c r="A93" s="29"/>
    </row>
    <row r="94" spans="1:7" x14ac:dyDescent="0.25">
      <c r="A94" s="29"/>
    </row>
    <row r="95" spans="1:7" x14ac:dyDescent="0.25">
      <c r="A95" s="29"/>
    </row>
    <row r="96" spans="1:7" x14ac:dyDescent="0.25">
      <c r="A96" s="29"/>
    </row>
    <row r="97" spans="1:3" x14ac:dyDescent="0.25">
      <c r="A97" s="29"/>
    </row>
    <row r="98" spans="1:3" x14ac:dyDescent="0.25">
      <c r="A98" s="29"/>
    </row>
    <row r="99" spans="1:3" x14ac:dyDescent="0.25">
      <c r="A99" s="29"/>
    </row>
    <row r="100" spans="1:3" x14ac:dyDescent="0.25">
      <c r="A100" s="29"/>
    </row>
    <row r="101" spans="1:3" x14ac:dyDescent="0.25">
      <c r="A101" s="29"/>
    </row>
    <row r="102" spans="1:3" x14ac:dyDescent="0.25">
      <c r="A102" s="29"/>
    </row>
    <row r="103" spans="1:3" x14ac:dyDescent="0.25">
      <c r="A103" s="29"/>
      <c r="B103" s="29"/>
      <c r="C103" s="29"/>
    </row>
    <row r="104" spans="1:3" x14ac:dyDescent="0.25">
      <c r="A104" s="29"/>
      <c r="B104" s="29"/>
      <c r="C104" s="29"/>
    </row>
    <row r="105" spans="1:3" x14ac:dyDescent="0.25">
      <c r="A105" s="29"/>
      <c r="B105" s="29"/>
      <c r="C105" s="29"/>
    </row>
    <row r="106" spans="1:3" x14ac:dyDescent="0.25">
      <c r="A106" s="29"/>
      <c r="B106" s="29"/>
      <c r="C106" s="29"/>
    </row>
    <row r="107" spans="1:3" x14ac:dyDescent="0.25">
      <c r="A107" s="29"/>
      <c r="B107" s="29"/>
      <c r="C107" s="29"/>
    </row>
    <row r="108" spans="1:3" x14ac:dyDescent="0.25">
      <c r="A108" s="29"/>
      <c r="B108" s="29"/>
      <c r="C108" s="29"/>
    </row>
    <row r="109" spans="1:3" x14ac:dyDescent="0.25">
      <c r="A109" s="29"/>
      <c r="B109" s="29"/>
      <c r="C109" s="29"/>
    </row>
    <row r="110" spans="1:3" x14ac:dyDescent="0.25">
      <c r="A110" s="29"/>
    </row>
    <row r="111" spans="1:3" x14ac:dyDescent="0.25">
      <c r="A111" s="29"/>
    </row>
    <row r="112" spans="1:3" x14ac:dyDescent="0.25">
      <c r="A112" s="29"/>
    </row>
    <row r="113" spans="1:7" x14ac:dyDescent="0.25">
      <c r="A113" s="29"/>
      <c r="B113" s="29"/>
      <c r="C113" s="29"/>
      <c r="D113" s="29"/>
      <c r="E113" s="29"/>
      <c r="F113" s="29"/>
      <c r="G113" s="29"/>
    </row>
    <row r="114" spans="1:7" x14ac:dyDescent="0.25">
      <c r="A114" s="29"/>
      <c r="B114" s="29"/>
    </row>
    <row r="115" spans="1:7" x14ac:dyDescent="0.25">
      <c r="A115" s="29"/>
      <c r="B115" s="29"/>
    </row>
    <row r="116" spans="1:7" x14ac:dyDescent="0.25">
      <c r="A116" s="29"/>
      <c r="B116" s="29"/>
    </row>
    <row r="117" spans="1:7" x14ac:dyDescent="0.25">
      <c r="A117" s="29"/>
      <c r="B117" s="29"/>
    </row>
    <row r="118" spans="1:7" x14ac:dyDescent="0.25">
      <c r="A118" s="29"/>
      <c r="B118" s="29"/>
    </row>
    <row r="119" spans="1:7" x14ac:dyDescent="0.25">
      <c r="A119" s="29"/>
      <c r="B119" s="29"/>
    </row>
    <row r="120" spans="1:7" x14ac:dyDescent="0.25">
      <c r="A120" s="29"/>
      <c r="B120" s="29"/>
    </row>
    <row r="121" spans="1:7" x14ac:dyDescent="0.25">
      <c r="A121" s="29"/>
      <c r="B121" s="29"/>
    </row>
    <row r="122" spans="1:7" x14ac:dyDescent="0.25">
      <c r="A122" s="29"/>
      <c r="B122" s="29"/>
    </row>
    <row r="123" spans="1:7" x14ac:dyDescent="0.25">
      <c r="A123" s="29"/>
      <c r="B123" s="29"/>
    </row>
    <row r="124" spans="1:7" x14ac:dyDescent="0.25">
      <c r="A124" s="29"/>
      <c r="B124" s="29"/>
    </row>
    <row r="125" spans="1:7" x14ac:dyDescent="0.25">
      <c r="A125" s="29"/>
      <c r="B125" s="29"/>
    </row>
    <row r="126" spans="1:7" x14ac:dyDescent="0.25">
      <c r="A126" s="29"/>
      <c r="B126" s="29"/>
    </row>
    <row r="127" spans="1:7" x14ac:dyDescent="0.25">
      <c r="A127" s="29"/>
      <c r="B127" s="29"/>
    </row>
    <row r="128" spans="1:7" x14ac:dyDescent="0.25">
      <c r="A128" s="29"/>
      <c r="B128" s="29"/>
    </row>
    <row r="129" spans="1:7" x14ac:dyDescent="0.25">
      <c r="A129" s="29"/>
      <c r="B129" s="29"/>
    </row>
    <row r="130" spans="1:7" x14ac:dyDescent="0.25">
      <c r="A130" s="29"/>
      <c r="B130" s="29"/>
    </row>
    <row r="131" spans="1:7" x14ac:dyDescent="0.25">
      <c r="A131" s="29"/>
      <c r="B131" s="29"/>
    </row>
    <row r="132" spans="1:7" x14ac:dyDescent="0.25">
      <c r="A132" s="29"/>
      <c r="B132" s="29"/>
    </row>
    <row r="133" spans="1:7" x14ac:dyDescent="0.25">
      <c r="A133" s="29"/>
    </row>
    <row r="134" spans="1:7" x14ac:dyDescent="0.25">
      <c r="A134" s="29"/>
      <c r="B134" s="29"/>
      <c r="C134" s="29"/>
      <c r="D134" s="29"/>
      <c r="E134" s="29"/>
      <c r="F134" s="29"/>
      <c r="G134" s="29"/>
    </row>
    <row r="135" spans="1:7" x14ac:dyDescent="0.25">
      <c r="A135" s="29"/>
      <c r="B135" s="29"/>
      <c r="C135" s="29"/>
      <c r="D135" s="29"/>
      <c r="E135" s="29"/>
      <c r="F135" s="29"/>
      <c r="G135" s="29"/>
    </row>
    <row r="136" spans="1:7" x14ac:dyDescent="0.25">
      <c r="A136" s="29"/>
      <c r="B136" s="29"/>
      <c r="C136" s="29"/>
      <c r="D136" s="29"/>
      <c r="E136" s="29"/>
      <c r="F136" s="29"/>
      <c r="G136" s="29"/>
    </row>
    <row r="137" spans="1:7" x14ac:dyDescent="0.25">
      <c r="A137" s="29"/>
      <c r="B137" s="29"/>
      <c r="C137" s="29"/>
      <c r="D137" s="29"/>
      <c r="E137" s="29"/>
      <c r="F137" s="29"/>
      <c r="G137" s="29"/>
    </row>
    <row r="138" spans="1:7" x14ac:dyDescent="0.25">
      <c r="A138" s="29"/>
      <c r="B138" s="29"/>
      <c r="C138" s="29"/>
      <c r="D138" s="29"/>
      <c r="E138" s="29"/>
      <c r="F138" s="29"/>
      <c r="G138" s="29"/>
    </row>
    <row r="139" spans="1:7" x14ac:dyDescent="0.25">
      <c r="A139" s="60"/>
      <c r="B139" s="58"/>
      <c r="C139" s="59"/>
      <c r="D139" s="58"/>
      <c r="E139" s="58"/>
      <c r="F139" s="58"/>
      <c r="G139" s="61"/>
    </row>
    <row r="140" spans="1:7" x14ac:dyDescent="0.25">
      <c r="A140" s="62"/>
      <c r="B140" s="63"/>
      <c r="C140" s="64"/>
      <c r="D140" s="65"/>
      <c r="E140" s="65"/>
      <c r="F140" s="65"/>
      <c r="G140" s="66"/>
    </row>
    <row r="141" spans="1:7" x14ac:dyDescent="0.25">
      <c r="A141" s="67"/>
      <c r="B141" s="68"/>
      <c r="C141" s="69"/>
      <c r="D141" s="70"/>
      <c r="E141" s="70"/>
      <c r="F141" s="70"/>
      <c r="G141" s="71"/>
    </row>
    <row r="142" spans="1:7" x14ac:dyDescent="0.25">
      <c r="A142" s="67"/>
      <c r="B142" s="68"/>
      <c r="C142" s="69"/>
      <c r="D142" s="72"/>
      <c r="E142" s="72"/>
      <c r="F142" s="72"/>
      <c r="G142" s="73"/>
    </row>
    <row r="143" spans="1:7" x14ac:dyDescent="0.25">
      <c r="A143" s="74"/>
      <c r="B143" s="75"/>
      <c r="C143" s="76"/>
      <c r="D143" s="77"/>
      <c r="E143" s="77"/>
      <c r="F143" s="77"/>
      <c r="G143" s="78"/>
    </row>
    <row r="144" spans="1:7" x14ac:dyDescent="0.25">
      <c r="A144" s="29"/>
      <c r="B144" s="54"/>
      <c r="C144" s="34"/>
      <c r="D144" s="29"/>
      <c r="E144" s="29"/>
      <c r="F144" s="29"/>
      <c r="G144" s="29"/>
    </row>
    <row r="145" spans="1:1" x14ac:dyDescent="0.25">
      <c r="A145" s="54"/>
    </row>
    <row r="146" spans="1:1" x14ac:dyDescent="0.25">
      <c r="A146" s="54"/>
    </row>
    <row r="147" spans="1:1" x14ac:dyDescent="0.25">
      <c r="A147" s="54"/>
    </row>
    <row r="148" spans="1:1" x14ac:dyDescent="0.25">
      <c r="A148" s="54"/>
    </row>
    <row r="149" spans="1:1" x14ac:dyDescent="0.25">
      <c r="A149" s="54"/>
    </row>
    <row r="150" spans="1:1" x14ac:dyDescent="0.25">
      <c r="A150" s="54"/>
    </row>
    <row r="151" spans="1:1" x14ac:dyDescent="0.25">
      <c r="A151" s="54"/>
    </row>
    <row r="152" spans="1:1" x14ac:dyDescent="0.25">
      <c r="A152" s="54"/>
    </row>
    <row r="153" spans="1:1" x14ac:dyDescent="0.25">
      <c r="A153" s="54"/>
    </row>
    <row r="154" spans="1:1" x14ac:dyDescent="0.25">
      <c r="A154" s="54"/>
    </row>
    <row r="155" spans="1:1" x14ac:dyDescent="0.25">
      <c r="A155" s="54"/>
    </row>
    <row r="156" spans="1:1" x14ac:dyDescent="0.25">
      <c r="A156" s="54"/>
    </row>
    <row r="157" spans="1:1" x14ac:dyDescent="0.25">
      <c r="A157" s="54"/>
    </row>
    <row r="158" spans="1:1" x14ac:dyDescent="0.25">
      <c r="A158" s="54"/>
    </row>
    <row r="159" spans="1:1" x14ac:dyDescent="0.25">
      <c r="A159" s="54"/>
    </row>
    <row r="160" spans="1:1" x14ac:dyDescent="0.25">
      <c r="A160" s="54"/>
    </row>
    <row r="161" spans="1:7" x14ac:dyDescent="0.25">
      <c r="A161" s="54"/>
    </row>
    <row r="162" spans="1:7" x14ac:dyDescent="0.25">
      <c r="A162" s="54"/>
    </row>
    <row r="163" spans="1:7" x14ac:dyDescent="0.25">
      <c r="A163" s="29"/>
      <c r="B163" s="54"/>
      <c r="C163" s="34"/>
      <c r="D163" s="29"/>
      <c r="E163" s="29"/>
      <c r="F163" s="29"/>
      <c r="G163" s="29"/>
    </row>
    <row r="164" spans="1:7" x14ac:dyDescent="0.25">
      <c r="A164" s="54"/>
    </row>
    <row r="165" spans="1:7" x14ac:dyDescent="0.25">
      <c r="A165" s="54"/>
    </row>
    <row r="166" spans="1:7" x14ac:dyDescent="0.25">
      <c r="A166" s="54"/>
    </row>
    <row r="167" spans="1:7" x14ac:dyDescent="0.25">
      <c r="A167" s="54"/>
    </row>
    <row r="168" spans="1:7" x14ac:dyDescent="0.25">
      <c r="A168" s="54"/>
    </row>
    <row r="169" spans="1:7" x14ac:dyDescent="0.25">
      <c r="A169" s="54"/>
    </row>
    <row r="170" spans="1:7" x14ac:dyDescent="0.25">
      <c r="A170" s="54"/>
    </row>
    <row r="171" spans="1:7" x14ac:dyDescent="0.25">
      <c r="A171" s="54"/>
    </row>
    <row r="172" spans="1:7" x14ac:dyDescent="0.25">
      <c r="A172" s="54"/>
    </row>
    <row r="173" spans="1:7" x14ac:dyDescent="0.25">
      <c r="A173" s="54"/>
    </row>
    <row r="174" spans="1:7" x14ac:dyDescent="0.25">
      <c r="A174" s="54"/>
    </row>
    <row r="175" spans="1:7" x14ac:dyDescent="0.25">
      <c r="A175" s="54"/>
    </row>
    <row r="176" spans="1:7" x14ac:dyDescent="0.25">
      <c r="A176" s="54"/>
    </row>
    <row r="177" spans="1:19" x14ac:dyDescent="0.25">
      <c r="A177" s="54"/>
    </row>
    <row r="178" spans="1:19" x14ac:dyDescent="0.25">
      <c r="A178" s="54"/>
    </row>
    <row r="179" spans="1:19" x14ac:dyDescent="0.25">
      <c r="A179" s="54"/>
    </row>
    <row r="180" spans="1:19" x14ac:dyDescent="0.25">
      <c r="A180" s="54"/>
    </row>
    <row r="181" spans="1:19" x14ac:dyDescent="0.25">
      <c r="A181" s="54"/>
    </row>
    <row r="182" spans="1:19" x14ac:dyDescent="0.25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</row>
    <row r="183" spans="1:19" x14ac:dyDescent="0.25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</row>
    <row r="184" spans="1:19" x14ac:dyDescent="0.25">
      <c r="A184" s="29"/>
    </row>
    <row r="185" spans="1:19" x14ac:dyDescent="0.25">
      <c r="A185" s="29"/>
    </row>
    <row r="186" spans="1:19" x14ac:dyDescent="0.25">
      <c r="A186" s="29"/>
    </row>
    <row r="187" spans="1:19" x14ac:dyDescent="0.25">
      <c r="A187" s="29"/>
    </row>
    <row r="188" spans="1:19" x14ac:dyDescent="0.25">
      <c r="A188" s="29"/>
    </row>
    <row r="189" spans="1:19" x14ac:dyDescent="0.25">
      <c r="A189" s="29"/>
    </row>
    <row r="190" spans="1:19" x14ac:dyDescent="0.25">
      <c r="A190" s="29"/>
    </row>
    <row r="191" spans="1:19" x14ac:dyDescent="0.25">
      <c r="A191" s="29"/>
    </row>
    <row r="192" spans="1:19" x14ac:dyDescent="0.25">
      <c r="A192" s="29"/>
    </row>
    <row r="193" spans="1:4" x14ac:dyDescent="0.25">
      <c r="A193" s="29"/>
    </row>
    <row r="194" spans="1:4" x14ac:dyDescent="0.25">
      <c r="A194" s="29"/>
      <c r="B194" s="29"/>
      <c r="C194" s="29"/>
      <c r="D194" s="29"/>
    </row>
    <row r="195" spans="1:4" x14ac:dyDescent="0.25">
      <c r="A195" s="29"/>
      <c r="B195" s="29"/>
      <c r="C195" s="29"/>
      <c r="D195" s="29"/>
    </row>
    <row r="196" spans="1:4" x14ac:dyDescent="0.25">
      <c r="A196" s="29"/>
      <c r="B196" s="29"/>
      <c r="C196" s="29"/>
      <c r="D196" s="29"/>
    </row>
    <row r="197" spans="1:4" x14ac:dyDescent="0.25">
      <c r="A197" s="29"/>
      <c r="B197" s="29"/>
      <c r="C197" s="29"/>
      <c r="D197" s="29"/>
    </row>
    <row r="198" spans="1:4" x14ac:dyDescent="0.25">
      <c r="A198" s="29"/>
      <c r="B198" s="29"/>
      <c r="C198" s="29"/>
      <c r="D198" s="29"/>
    </row>
    <row r="199" spans="1:4" x14ac:dyDescent="0.25">
      <c r="A199" s="29"/>
      <c r="B199" s="29"/>
      <c r="C199" s="29"/>
      <c r="D199" s="29"/>
    </row>
    <row r="200" spans="1:4" x14ac:dyDescent="0.25">
      <c r="A200" s="29"/>
      <c r="B200" s="29"/>
      <c r="C200" s="29"/>
      <c r="D200" s="29"/>
    </row>
    <row r="201" spans="1:4" x14ac:dyDescent="0.25">
      <c r="A201" s="29"/>
      <c r="B201" s="29"/>
      <c r="C201" s="29"/>
      <c r="D201" s="29"/>
    </row>
    <row r="202" spans="1:4" x14ac:dyDescent="0.25">
      <c r="A202" s="29"/>
      <c r="B202" s="29"/>
      <c r="C202" s="29"/>
      <c r="D202" s="29"/>
    </row>
    <row r="203" spans="1:4" x14ac:dyDescent="0.25">
      <c r="A203" s="29"/>
      <c r="B203" s="29"/>
      <c r="C203" s="29"/>
      <c r="D203" s="29"/>
    </row>
    <row r="204" spans="1:4" x14ac:dyDescent="0.25">
      <c r="A204" s="29"/>
      <c r="B204" s="29"/>
      <c r="C204" s="29"/>
      <c r="D204" s="29"/>
    </row>
    <row r="205" spans="1:4" x14ac:dyDescent="0.25">
      <c r="A205" s="29"/>
      <c r="B205" s="29"/>
      <c r="C205" s="29"/>
      <c r="D205" s="29"/>
    </row>
    <row r="206" spans="1:4" x14ac:dyDescent="0.25">
      <c r="A206" s="29"/>
      <c r="B206" s="29"/>
      <c r="C206" s="29"/>
      <c r="D206" s="29"/>
    </row>
    <row r="207" spans="1:4" x14ac:dyDescent="0.25">
      <c r="A207" s="29"/>
      <c r="B207" s="29"/>
      <c r="C207" s="29"/>
      <c r="D207" s="29"/>
    </row>
    <row r="208" spans="1:4" x14ac:dyDescent="0.25">
      <c r="A208" s="29"/>
      <c r="B208" s="29"/>
      <c r="C208" s="29"/>
      <c r="D208" s="29"/>
    </row>
    <row r="209" spans="1:4" x14ac:dyDescent="0.25">
      <c r="A209" s="29"/>
      <c r="B209" s="29"/>
      <c r="C209" s="29"/>
      <c r="D209" s="29"/>
    </row>
    <row r="210" spans="1:4" x14ac:dyDescent="0.25">
      <c r="A210" s="29"/>
      <c r="B210" s="29"/>
      <c r="C210" s="29"/>
      <c r="D210" s="29"/>
    </row>
    <row r="211" spans="1:4" x14ac:dyDescent="0.25">
      <c r="A211" s="29"/>
      <c r="B211" s="29"/>
      <c r="C211" s="29"/>
      <c r="D211" s="29"/>
    </row>
    <row r="212" spans="1:4" x14ac:dyDescent="0.25">
      <c r="A212" s="29"/>
      <c r="B212" s="29"/>
      <c r="C212" s="29"/>
      <c r="D212" s="29"/>
    </row>
    <row r="213" spans="1:4" x14ac:dyDescent="0.25">
      <c r="A213" s="29"/>
      <c r="B213" s="29"/>
      <c r="C213" s="29"/>
      <c r="D213" s="29"/>
    </row>
    <row r="214" spans="1:4" x14ac:dyDescent="0.25">
      <c r="A214" s="29"/>
      <c r="B214" s="29"/>
      <c r="C214" s="29"/>
      <c r="D214" s="29"/>
    </row>
    <row r="215" spans="1:4" x14ac:dyDescent="0.25">
      <c r="A215" s="29"/>
      <c r="B215" s="29"/>
      <c r="C215" s="29"/>
      <c r="D215" s="29"/>
    </row>
    <row r="216" spans="1:4" x14ac:dyDescent="0.25">
      <c r="A216" s="29"/>
      <c r="B216" s="29"/>
      <c r="C216" s="29"/>
      <c r="D216" s="29"/>
    </row>
    <row r="217" spans="1:4" x14ac:dyDescent="0.25">
      <c r="A217" s="29"/>
      <c r="B217" s="29"/>
      <c r="C217" s="29"/>
      <c r="D217" s="29"/>
    </row>
    <row r="218" spans="1:4" x14ac:dyDescent="0.25">
      <c r="A218" s="29"/>
      <c r="B218" s="29"/>
      <c r="C218" s="29"/>
      <c r="D218" s="29"/>
    </row>
    <row r="219" spans="1:4" x14ac:dyDescent="0.25">
      <c r="A219" s="29"/>
      <c r="B219" s="29"/>
      <c r="C219" s="29"/>
      <c r="D219" s="29"/>
    </row>
    <row r="220" spans="1:4" x14ac:dyDescent="0.25">
      <c r="A220" s="29"/>
      <c r="B220" s="29"/>
      <c r="C220" s="29"/>
      <c r="D220" s="29"/>
    </row>
    <row r="221" spans="1:4" x14ac:dyDescent="0.25">
      <c r="A221" s="29"/>
      <c r="B221" s="29"/>
      <c r="C221" s="29"/>
      <c r="D221" s="29"/>
    </row>
    <row r="222" spans="1:4" x14ac:dyDescent="0.25">
      <c r="A222" s="29"/>
      <c r="B222" s="29"/>
      <c r="C222" s="29"/>
      <c r="D222" s="29"/>
    </row>
    <row r="223" spans="1:4" x14ac:dyDescent="0.25">
      <c r="A223" s="29"/>
      <c r="B223" s="29"/>
      <c r="C223" s="29"/>
      <c r="D223" s="29"/>
    </row>
    <row r="224" spans="1:4" x14ac:dyDescent="0.25">
      <c r="A224" s="29"/>
      <c r="B224" s="29"/>
      <c r="C224" s="29"/>
      <c r="D224" s="29"/>
    </row>
    <row r="225" spans="1:6" x14ac:dyDescent="0.25">
      <c r="A225" s="29"/>
      <c r="B225" s="29"/>
      <c r="C225" s="29"/>
      <c r="D225" s="29"/>
    </row>
    <row r="226" spans="1:6" x14ac:dyDescent="0.25">
      <c r="A226" s="29"/>
      <c r="B226" s="29"/>
      <c r="C226" s="29"/>
      <c r="D226" s="29"/>
    </row>
    <row r="227" spans="1:6" x14ac:dyDescent="0.25">
      <c r="A227" s="101"/>
      <c r="B227" s="29"/>
      <c r="C227" s="29"/>
      <c r="D227" s="29"/>
      <c r="E227" s="29"/>
    </row>
    <row r="228" spans="1:6" x14ac:dyDescent="0.25">
      <c r="A228" s="29"/>
      <c r="B228" s="29"/>
      <c r="C228" s="29"/>
      <c r="D228" s="29"/>
      <c r="E228" s="29"/>
    </row>
    <row r="229" spans="1:6" x14ac:dyDescent="0.25">
      <c r="A229" s="29"/>
      <c r="B229" s="29"/>
      <c r="C229" s="29"/>
      <c r="D229" s="29"/>
      <c r="E229" s="29"/>
    </row>
    <row r="230" spans="1:6" x14ac:dyDescent="0.25">
      <c r="A230" s="29"/>
      <c r="B230" s="29"/>
      <c r="C230" s="29"/>
      <c r="D230" s="29"/>
      <c r="E230" s="29"/>
    </row>
    <row r="231" spans="1:6" x14ac:dyDescent="0.25">
      <c r="A231" s="29"/>
      <c r="B231" s="29"/>
      <c r="C231" s="29"/>
      <c r="D231" s="29"/>
      <c r="E231" s="29"/>
    </row>
    <row r="232" spans="1:6" x14ac:dyDescent="0.25">
      <c r="A232" s="29"/>
      <c r="B232" s="29"/>
      <c r="C232" s="29"/>
      <c r="D232" s="29"/>
      <c r="E232" s="29"/>
    </row>
    <row r="233" spans="1:6" x14ac:dyDescent="0.25">
      <c r="A233" s="29"/>
      <c r="B233" s="29"/>
      <c r="C233" s="29"/>
      <c r="D233" s="29"/>
      <c r="E233" s="29"/>
    </row>
    <row r="234" spans="1:6" x14ac:dyDescent="0.25">
      <c r="A234" s="29"/>
      <c r="B234" s="29"/>
      <c r="C234" s="29"/>
      <c r="D234" s="29"/>
      <c r="E234" s="29"/>
    </row>
    <row r="235" spans="1:6" x14ac:dyDescent="0.25">
      <c r="A235" s="29"/>
      <c r="B235" s="29"/>
      <c r="C235" s="29"/>
      <c r="D235" s="29"/>
      <c r="E235" s="29"/>
    </row>
    <row r="236" spans="1:6" ht="16.5" thickBot="1" x14ac:dyDescent="0.3">
      <c r="A236" s="29"/>
      <c r="B236" s="29"/>
      <c r="C236" s="29"/>
      <c r="D236" s="29"/>
      <c r="E236" s="29"/>
      <c r="F236" s="4"/>
    </row>
    <row r="237" spans="1:6" x14ac:dyDescent="0.25">
      <c r="A237" s="29"/>
      <c r="B237" s="29"/>
      <c r="C237" s="29"/>
      <c r="D237" s="29"/>
      <c r="E237" s="29"/>
      <c r="F237" s="1"/>
    </row>
    <row r="238" spans="1:6" x14ac:dyDescent="0.25">
      <c r="A238" s="29"/>
      <c r="B238" s="29"/>
      <c r="C238" s="29"/>
      <c r="D238" s="29"/>
      <c r="E238" s="29"/>
      <c r="F238" s="2"/>
    </row>
    <row r="239" spans="1:6" x14ac:dyDescent="0.25">
      <c r="A239" s="29"/>
      <c r="B239" s="29"/>
      <c r="C239" s="29"/>
      <c r="D239" s="29"/>
      <c r="E239" s="29"/>
      <c r="F239" s="2"/>
    </row>
    <row r="240" spans="1:6" x14ac:dyDescent="0.25">
      <c r="A240" s="29"/>
      <c r="B240" s="29"/>
      <c r="C240" s="29"/>
      <c r="D240" s="29"/>
      <c r="E240" s="29"/>
      <c r="F240" s="1"/>
    </row>
    <row r="241" spans="1:19" x14ac:dyDescent="0.25">
      <c r="A241" s="29"/>
      <c r="B241" s="29"/>
      <c r="C241" s="29"/>
      <c r="D241" s="29"/>
      <c r="E241" s="29"/>
      <c r="F241" s="2"/>
    </row>
    <row r="242" spans="1:19" x14ac:dyDescent="0.25">
      <c r="A242" s="29"/>
      <c r="B242" s="29"/>
      <c r="C242" s="29"/>
      <c r="D242" s="29"/>
      <c r="E242" s="29"/>
      <c r="F242" s="2"/>
    </row>
    <row r="243" spans="1:19" x14ac:dyDescent="0.25">
      <c r="A243" s="29"/>
      <c r="B243" s="29"/>
      <c r="C243" s="29"/>
      <c r="D243" s="29"/>
      <c r="E243" s="29"/>
      <c r="F243" s="2"/>
    </row>
    <row r="244" spans="1:19" x14ac:dyDescent="0.25">
      <c r="A244" s="29"/>
      <c r="B244" s="29"/>
      <c r="C244" s="29"/>
      <c r="D244" s="29"/>
      <c r="E244" s="29"/>
    </row>
    <row r="245" spans="1:19" x14ac:dyDescent="0.25">
      <c r="A245" s="29"/>
      <c r="B245" s="29"/>
      <c r="C245" s="29"/>
      <c r="D245" s="29"/>
      <c r="E245" s="29"/>
    </row>
    <row r="246" spans="1:19" x14ac:dyDescent="0.25">
      <c r="A246" s="29"/>
      <c r="B246" s="29"/>
      <c r="C246" s="29"/>
      <c r="D246" s="29"/>
      <c r="E246" s="29"/>
    </row>
    <row r="247" spans="1:19" x14ac:dyDescent="0.25">
      <c r="A247" s="29"/>
      <c r="B247" s="29"/>
      <c r="C247" s="29"/>
      <c r="D247" s="29"/>
      <c r="E247" s="29"/>
    </row>
    <row r="248" spans="1:19" x14ac:dyDescent="0.25">
      <c r="A248" s="29"/>
      <c r="B248" s="29"/>
      <c r="C248" s="29"/>
      <c r="D248" s="29"/>
      <c r="E248" s="29"/>
    </row>
    <row r="249" spans="1:19" x14ac:dyDescent="0.25">
      <c r="A249" s="29"/>
      <c r="B249" s="29"/>
      <c r="C249" s="29"/>
      <c r="D249" s="29"/>
      <c r="E249" s="29"/>
    </row>
    <row r="250" spans="1:19" x14ac:dyDescent="0.25">
      <c r="A250" s="29"/>
      <c r="B250" s="29"/>
      <c r="C250" s="29"/>
      <c r="D250" s="29"/>
      <c r="E250" s="29"/>
    </row>
    <row r="251" spans="1:19" x14ac:dyDescent="0.25">
      <c r="A251" s="29"/>
      <c r="B251" s="29"/>
      <c r="C251" s="29"/>
      <c r="D251" s="29"/>
      <c r="E251" s="29"/>
    </row>
    <row r="252" spans="1:19" x14ac:dyDescent="0.25">
      <c r="A252" s="29"/>
      <c r="B252" s="29"/>
      <c r="C252" s="29"/>
      <c r="D252" s="29"/>
      <c r="E252" s="29"/>
    </row>
    <row r="253" spans="1:19" x14ac:dyDescent="0.25">
      <c r="A253" s="29"/>
      <c r="B253" s="29"/>
      <c r="C253" s="29"/>
      <c r="D253" s="29"/>
      <c r="E253" s="29"/>
    </row>
    <row r="254" spans="1:19" x14ac:dyDescent="0.25">
      <c r="A254" s="29"/>
      <c r="B254" s="29"/>
      <c r="C254" s="29"/>
      <c r="D254" s="29"/>
      <c r="E254" s="29"/>
    </row>
    <row r="255" spans="1:19" x14ac:dyDescent="0.2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</row>
    <row r="256" spans="1:19" x14ac:dyDescent="0.25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</row>
    <row r="257" spans="1:19" x14ac:dyDescent="0.25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</row>
    <row r="258" spans="1:19" x14ac:dyDescent="0.25">
      <c r="A258" s="29"/>
      <c r="B258" s="29"/>
      <c r="C258" s="29"/>
      <c r="D258" s="29"/>
      <c r="E258" s="29"/>
    </row>
    <row r="259" spans="1:19" x14ac:dyDescent="0.25">
      <c r="A259" s="29"/>
      <c r="B259" s="29"/>
      <c r="C259" s="29"/>
      <c r="D259" s="29"/>
      <c r="E259" s="29"/>
    </row>
    <row r="260" spans="1:19" x14ac:dyDescent="0.25">
      <c r="A260" s="29"/>
      <c r="B260" s="29"/>
      <c r="C260" s="29"/>
      <c r="D260" s="29"/>
      <c r="E260" s="29"/>
    </row>
    <row r="261" spans="1:19" x14ac:dyDescent="0.25">
      <c r="A261" s="29"/>
      <c r="B261" s="29"/>
      <c r="C261" s="29"/>
      <c r="D261" s="29"/>
      <c r="E261" s="29"/>
    </row>
    <row r="262" spans="1:19" x14ac:dyDescent="0.25">
      <c r="A262" s="29"/>
      <c r="B262" s="29"/>
      <c r="C262" s="29"/>
      <c r="D262" s="29"/>
      <c r="E262" s="29"/>
    </row>
    <row r="263" spans="1:19" x14ac:dyDescent="0.25">
      <c r="A263" s="29"/>
      <c r="B263" s="29"/>
      <c r="C263" s="29"/>
      <c r="D263" s="29"/>
      <c r="E263" s="29"/>
    </row>
    <row r="264" spans="1:19" x14ac:dyDescent="0.25">
      <c r="A264" s="29"/>
      <c r="B264" s="29"/>
      <c r="C264" s="29"/>
      <c r="D264" s="29"/>
      <c r="E264" s="29"/>
    </row>
    <row r="265" spans="1:19" x14ac:dyDescent="0.25">
      <c r="A265" s="29"/>
      <c r="B265" s="29"/>
      <c r="C265" s="29"/>
      <c r="D265" s="29"/>
      <c r="E265" s="29"/>
    </row>
    <row r="266" spans="1:19" x14ac:dyDescent="0.25">
      <c r="A266" s="29"/>
      <c r="B266" s="29"/>
      <c r="C266" s="29"/>
      <c r="D266" s="29"/>
      <c r="E266" s="29"/>
    </row>
    <row r="267" spans="1:19" x14ac:dyDescent="0.25">
      <c r="A267" s="29"/>
      <c r="B267" s="29"/>
      <c r="C267" s="29"/>
      <c r="D267" s="29"/>
      <c r="E267" s="29"/>
    </row>
    <row r="268" spans="1:19" x14ac:dyDescent="0.25">
      <c r="A268" s="29"/>
      <c r="B268" s="29"/>
      <c r="C268" s="29"/>
      <c r="D268" s="29"/>
      <c r="E268" s="29"/>
    </row>
    <row r="269" spans="1:19" x14ac:dyDescent="0.25">
      <c r="A269" s="29"/>
      <c r="B269" s="29"/>
      <c r="C269" s="29"/>
      <c r="D269" s="29"/>
      <c r="E269" s="29"/>
    </row>
    <row r="270" spans="1:19" x14ac:dyDescent="0.25">
      <c r="A270" s="29"/>
      <c r="B270" s="29"/>
      <c r="C270" s="29"/>
      <c r="D270" s="29"/>
      <c r="E270" s="29"/>
    </row>
    <row r="271" spans="1:19" x14ac:dyDescent="0.25">
      <c r="A271" s="29"/>
      <c r="B271" s="29"/>
      <c r="C271" s="29"/>
      <c r="D271" s="29"/>
      <c r="E271" s="29"/>
    </row>
    <row r="272" spans="1:19" x14ac:dyDescent="0.25">
      <c r="A272" s="29"/>
      <c r="B272" s="29"/>
      <c r="C272" s="29"/>
      <c r="D272" s="29"/>
      <c r="E272" s="29"/>
    </row>
    <row r="273" spans="1:5" x14ac:dyDescent="0.25">
      <c r="A273" s="29"/>
      <c r="B273" s="29"/>
      <c r="C273" s="29"/>
      <c r="D273" s="29"/>
      <c r="E273" s="29"/>
    </row>
    <row r="274" spans="1:5" x14ac:dyDescent="0.25">
      <c r="A274" s="29"/>
      <c r="B274" s="29"/>
      <c r="C274" s="29"/>
      <c r="D274" s="29"/>
      <c r="E274" s="29"/>
    </row>
    <row r="275" spans="1:5" x14ac:dyDescent="0.25">
      <c r="A275" s="29"/>
      <c r="B275" s="29"/>
      <c r="C275" s="29"/>
      <c r="D275" s="29"/>
      <c r="E275" s="29"/>
    </row>
    <row r="276" spans="1:5" x14ac:dyDescent="0.25">
      <c r="A276" s="29"/>
    </row>
    <row r="277" spans="1:5" x14ac:dyDescent="0.25">
      <c r="A277" s="2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ExcelenceChangeLog xmlns="http://schemas.excelence.com/change-log/1.0">
  <Version>2.0</Version>
  <LastUpdated>2026-05-15T12:45:50.383Z</LastUpdated>
  <ChangeLogData>%5B%7B%22executionId%22%3A%2232d9839a-42c2-4e3c-b333-7293f4cd83e5%22%2C%22timestamp%22%3A%222026-05-15T12%3A45%3A50.176Z%22%2C%22logs%22%3A%5B%7B%22sheetName%22%3A%22Financial%20Analysis%22%2C%22address%22%3A%22B%3AB%22%2C%22changeType%22%3A%22format%22%2C%22details%22%3A%22%E5%88%97%E5%B9%85%E3%82%92%E5%A4%89%E6%9B%B4%22%2C%22lineNumber%22%3A57%7D%2C%7B%22sheetName%22%3A%22Financial%20Analysis%22%2C%22address%22%3A%22B47%3AG52%22%2C%22changeType%22%3A%22format%22%2C%22details%22%3A%22%E6%9B%B8%E5%BC%8F%E3%82%92%E5%A4%89%E6%9B%B4%22%2C%22lineNumber%22%3A58%7D%2C%7B%22sheetName%22%3A%22Financial%20Analysis%22%2C%22address%22%3A%22A47%3AA52%22%2C%22changeType%22%3A%22value%22%2C%22details%22%3A%22%E5%80%A4%E3%82%92%E6%9B%B4%E6%96%B0%20(6x1%201.%2C%202.%2C%203.%20%2B3%20more)%22%2C%22lineNumber%22%3A59%2C%22meta%22%3A%7B%22liveCellSnapshot%22%3A%7B%22value%22%3A%221%22%2C%22formula%22%3A%22-%22%7D%7D%7D%2C%7B%22sheetName%22%3A%22Financial%20Analysis%22%2C%22address%22%3A%22A47%3AA52%22%2C%22changeType%22%3A%22format%22%2C%22details%22%3A%22%E6%9B%B8%E5%BC%8F%E3%82%92%E5%A4%89%E6%9B%B4%22%2C%22lineNumber%22%3A59%7D%5D%7D%2C%7B%22executionId%22%3A%22ee73aa1b-7c62-4a22-8b40-26a19832f1c3%22%2C%22timestamp%22%3A%222026-05-15T12%3A45%3A15.362Z%22%2C%22logs%22%3A%5B%7B%22sheetName%22%3A%22Financial%20Analysis%22%2C%22address%22%3A%22A1%22%2C%22changeType%22%3A%22structural%22%2C%22details%22%3A%22%E3%82%B7%E3%83%BC%E3%83%88%E3%82%92%E8%BF%BD%E5%8A%A0%22%2C%22lineNumber%22%3A0%7D%2C%7B%22sheetName%22%3A%22Financial%20Analysis%22%2C%22address%22%3A%22A1%3AG70%22%2C%22changeType%22%3A%22clear%22%2C%22details%22%3A%22%E3%82%BB%E3%83%AB%E5%86%85%E5%AE%B9%E3%82%92%E3%82%AF%E3%83%AA%E3%82%A2%22%2C%22lineNumber%22%3A58%2C%22meta%22%3A%7B%22liveCellSnapshot%22%3A%7B%22value%22%3A%22Financial%20Analysis%22%2C%22formula%22%3A%22-%22%7D%7D%7D%2C%7B%22sheetName%22%3A%22Financial%20Analysis%22%2C%22address%22%3A%22A1%3AG1%22%2C%22changeType%22%3A%22value%22%2C%22details%22%3A%22%E5%80%A4%E3%82%92%E6%9B%B4%E6%96%B0%20(1x7%20Financial%20Analysis)%22%2C%22lineNumber%22%3A60%2C%22meta%22%3A%7B%22liveCellSnapshot%22%3A%7B%22value%22%3A%22Financial%20Analysis%22%2C%22formula%22%3A%22-%22%7D%7D%7D%2C%7B%22sheetName%22%3A%22Financial%20Analysis%22%2C%22address%22%3A%22A1%3AG1%22%2C%22changeType%22%3A%22format%22%2C%22details%22%3A%22%E6%9B%B8%E5%BC%8F%E3%82%92%E5%A4%89%E6%9B%B4%22%2C%22lineNumber%22%3A60%7D%2C%7B%22sheetName%22%3A%22Financial%20Analysis%22%2C%22address%22%3A%22A%3AA%22%2C%22changeType%22%3A%22format%22%2C%22details%22%3A%22%E5%88%97%E5%B9%85%E3%82%92%E5%A4%89%E6%9B%B4%22%2C%22lineNumber%22%3A60%7D%2C%7B%22sheetName%22%3A%22Financial%20Analysis%22%2C%22address%22%3A%22B%3AB%22%2C%22changeType%22%3A%22format%22%2C%22details%22%3A%22%E5%88%97%E5%B9%85%E3%82%92%E5%A4%89%E6%9B%B4%22%2C%22lineNumber%22%3A60%7D%2C%7B%22sheetName%22%3A%22Financial%20Analysis%22%2C%22address%22%3A%22C%3AC%22%2C%22changeType%22%3A%22format%22%2C%22details%22%3A%22%E5%88%97%E5%B9%85%E3%82%92%E5%A4%89%E6%9B%B4%22%2C%22lineNumber%22%3A60%7D%2C%7B%22sheetName%22%3A%22Financial%20Analysis%22%2C%22address%22%3A%22D%3AD%22%2C%22changeType%22%3A%22format%22%2C%22details%22%3A%22%E5%88%97%E5%B9%85%E3%82%92%E5%A4%89%E6%9B%B4%22%2C%22lineNumber%22%3A60%7D%2C%7B%22sheetName%22%3A%22Financial%20Analysis%22%2C%22address%22%3A%22E%3AE%22%2C%22changeType%22%3A%22format%22%2C%22details%22%3A%22%E5%88%97%E5%B9%85%E3%82%92%E5%A4%89%E6%9B%B4%22%2C%22lineNumber%22%3A60%7D%2C%7B%22sheetName%22%3A%22Financial%20Analysis%22%2C%22address%22%3A%22F%3AF%22%2C%22changeType%22%3A%22format%22%2C%22details%22%3A%22%E5%88%97%E5%B9%85%E3%82%92%E5%A4%89%E6%9B%B4%22%2C%22lineNumber%22%3A60%7D%2C%7B%22sheetName%22%3A%22Financial%20Analysis%22%2C%22address%22%3A%22G%3AG%22%2C%22changeType%22%3A%22format%22%2C%22details%22%3A%22%E5%88%97%E5%B9%85%E3%82%92%E5%A4%89%E6%9B%B4%22%2C%22lineNumber%22%3A60%7D%2C%7B%22sheetName%22%3A%22Financial%20Analysis%22%2C%22address%22%3A%22A2%3AG2%22%2C%22changeType%22%3A%22value%22%2C%22details%22%3A%22%E5%80%A4%E3%82%92%E6%9B%B4%E6%96%B0%20(1x7%20Based%20on%20reported%20Balance%20Sheet%2C%20P%26L%20and%20Cash%20Flow%20data%20%7C%20%E2%82%B9%20...)%22%2C%22lineNumber%22%3A66%2C%22meta%22%3A%7B%22liveCellSnapshot%22%3A%7B%22value%22%3A%22Based%20on%20reported%20Balance%20Sheet%2C%20P%26L%20and%20Cash%20Flow%20data%20%7C%20%E2%82%B9%20...%22%2C%22formula%22%3A%22-%22%7D%7D%7D%2C%7B%22sheetName%22%3A%22Financial%20Analysis%22%2C%22address%22%3A%22A2%3AG2%22%2C%22changeType%22%3A%22format%22%2C%22details%22%3A%22%E6%9B%B8%E5%BC%8F%E3%82%92%E5%A4%89%E6%9B%B4%22%2C%22lineNumber%22%3A66%7D%2C%7B%22sheetName%22%3A%22Financial%20Analysis%22%2C%22address%22%3A%22A4%3AG4%22%2C%22changeType%22%3A%22value%22%2C%22details%22%3A%22%E5%80%A4%E3%82%92%E6%9B%B4%E6%96%B0%20(1x7%201.%20Income%20Statement%20%26%20Cash%20Flow%20Trends)%22%2C%22lineNumber%22%3A71%2C%22meta%22%3A%7B%22liveCellSnapshot%22%3A%7B%22value%22%3A%221.%20Income%20Statement%20%26%20Cash%20Flow%20Trends%22%2C%22formula%22%3A%22-%22%7D%7D%7D%2C%7B%22sheetName%22%3A%22Financial%20Analysis%22%2C%22address%22%3A%22A4%3AG4%22%2C%22changeType%22%3A%22format%22%2C%22details%22%3A%22%E6%9B%B8%E5%BC%8F%E3%82%92%E5%A4%89%E6%9B%B4%22%2C%22lineNumber%22%3A71%7D%2C%7B%22sheetName%22%3A%22Financial%20Analysis%22%2C%22address%22%3A%22A5%3AG5%22%2C%22changeType%22%3A%22value%22%2C%22details%22%3A%22%E5%80%A4%E3%82%92%E6%9B%B4%E6%96%B0%20(1x7%20Metric%2C%20Source%20%2F%20Note%2C%20FY2021%20%2B4%20more)%22%2C%22lineNumber%22%3A72%2C%22meta%22%3A%7B%22liveCellSnapshot%22%3A%7B%22value%22%3A%22Metric%22%2C%22formula%22%3A%22-%22%7D%7D%7D%2C%7B%22sheetName%22%3A%22Financial%20Analysis%22%2C%22address%22%3A%22A5%3AG5%22%2C%22changeType%22%3A%22format%22%2C%22details%22%3A%22%E6%9B%B8%E5%BC%8F%E3%82%92%E5%A4%89%E6%9B%B4%22%2C%22lineNumber%22%3A72%7D%2C%7B%22sheetName%22%3A%22Financial%20Analysis%22%2C%22address%22%3A%22A6%3AG16%22%2C%22changeType%22%3A%22value%22%2C%22details%22%3A%22%E5%80%A4%E3%82%92%E6%9B%B4%E6%96%B0%20(11x7%20Revenue%2C%20P%26L%20row%206%2C%20%3D'P%26L'!D6%20%2B74%20more)%22%2C%22lineNumber%22%3A73%2C%22meta%22%3A%7B%22liveCellSnapshot%22%3A%7B%22value%22%3A%22Revenue%22%2C%22formula%22%3A%22-%22%7D%7D%7D%2C%7B%22sheetName%22%3A%22Financial%20Analysis%22%2C%22address%22%3A%22A6%3AG16%22%2C%22changeType%22%3A%22format%22%2C%22details%22%3A%22%E6%9B%B8%E5%BC%8F%E3%82%92%E5%A4%89%E6%9B%B4%22%2C%22lineNumber%22%3A73%7D%2C%7B%22sheetName%22%3A%22Financial%20Analysis%22%2C%22address%22%3A%22A18%3AG18%22%2C%22changeType%22%3A%22value%22%2C%22details%22%3A%22%E5%80%A4%E3%82%92%E6%9B%B4%E6%96%B0%20(1x7%202.%20Balance%20Sheet%2C%20Returns%20%26%20Leverage)%22%2C%22lineNumber%22%3A89%2C%22meta%22%3A%7B%22liveCellSnapshot%22%3A%7B%22value%22%3A%222.%20Balance%20Sheet%2C%20Returns%20%26%20Leverage%22%2C%22formula%22%3A%22-%22%7D%7D%7D%2C%7B%22sheetName%22%3A%22Financial%20Analysis%22%2C%22address%22%3A%22A18%3AG18%22%2C%22changeType%22%3A%22format%22%2C%22details%22%3A%22%E6%9B%B8%E5%BC%8F%E3%82%92%E5%A4%89%E6%9B%B4%22%2C%22lineNumber%22%3A89%7D%2C%7B%22sheetName%22%3A%22Financial%20Analysis%22%2C%22address%22%3A%22A19%3AG31%22%2C%22changeType%22%3A%22value%22%2C%22details%22%3A%22%E5%80%A4%E3%82%92%E6%9B%B4%E6%96%B0%20(13x7%20Total%20assets%2C%20Balance%20Sheet%20row%2031%2C%20%3D'Balance%20Sheet'!D31%20%2B86%20more)%22%2C%22lineNumber%22%3A90%2C%22meta%22%3A%7B%22liveCellSnapshot%22%3A%7B%22value%22%3A%22Total%20assets%22%2C%22formula%22%3A%22-%22%7D%7D%7D%2C%7B%22sheetName%22%3A%22Financial%20Analysis%22%2C%22address%22%3A%22A19%3AG31%22%2C%22changeType%22%3A%22format%22%2C%22details%22%3A%22%E6%9B%B8%E5%BC%8F%E3%82%92%E5%A4%89%E6%9B%B4%22%2C%22lineNumber%22%3A90%7D%2C%7B%22sheetName%22%3A%22Financial%20Analysis%22%2C%22address%22%3A%22A33%3AG33%22%2C%22changeType%22%3A%22value%22%2C%22details%22%3A%22%E5%80%A4%E3%82%92%E6%9B%B4%E6%96%B0%20(1x7%203.%20Working%20Capital%20%26%20Funding%20Analysis)%22%2C%22lineNumber%22%3A108%2C%22meta%22%3A%7B%22liveCellSnapshot%22%3A%7B%22value%22%3A%223.%20Working%20Capital%20%26%20Funding%20Analysis%22%2C%22formula%22%3A%22-%22%7D%7D%7D%2C%7B%22sheetName%22%3A%22Financial%20Analysis%22%2C%22address%22%3A%22A33%3AG33%22%2C%22changeType%22%3A%22format%22%2C%22details%22%3A%22%E6%9B%B8%E5%BC%8F%E3%82%92%E5%A4%89%E6%9B%B4%22%2C%22lineNumber%22%3A108%7D%2C%7B%22sheetName%22%3A%22Financial%20Analysis%22%2C%22address%22%3A%22A34%3AG44%22%2C%22changeType%22%3A%22value%22%2C%22details%22%3A%22%E5%80%A4%E3%82%92%E6%9B%B4%E6%96%B0%20(11x7%20Current%20trade%20receivables%2C%20Balance%20Sheet%20row%2023%2C%20%3D'Balance%20Sheet'!D23%20%2B74%20more)%22%2C%22lineNumber%22%3A109%2C%22meta%22%3A%7B%22liveCellSnapshot%22%3A%7B%22value%22%3A%22Current%20trade%20receivables%22%2C%22formula%22%3A%22-%22%7D%7D%7D%2C%7B%22sheetName%22%3A%22Financial%20Analysis%22%2C%22address%22%3A%22A34%3AG44%22%2C%22changeType%22%3A%22format%22%2C%22details%22%3A%22%E6%9B%B8%E5%BC%8F%E3%82%92%E5%A4%89%E6%9B%B4%22%2C%22lineNumber%22%3A109%7D%2C%7B%22sheetName%22%3A%22Financial%20Analysis%22%2C%22address%22%3A%22A46%3AG46%22%2C%22changeType%22%3A%22value%22%2C%22details%22%3A%22%E5%80%A4%E3%82%92%E6%9B%B4%E6%96%B0%20(1x7%204.%20Key%20Takeaways)%22%2C%22lineNumber%22%3A125%2C%22meta%22%3A%7B%22liveCellSnapshot%22%3A%7B%22value%22%3A%224.%20Key%20Takeaways%22%2C%22formula%22%3A%22-%22%7D%7D%7D%2C%7B%22sheetName%22%3A%22Financial%20Analysis%22%2C%22address%22%3A%22A46%3AG46%22%2C%22changeType%22%3A%22format%22%2C%22details%22%3A%22%E6%9B%B8%E5%BC%8F%E3%82%92%E5%A4%89%E6%9B%B4%22%2C%22lineNumber%22%3A125%7D%2C%7B%22sheetName%22%3A%22Financial%20Analysis%22%2C%22address%22%3A%22A47%3AB52%22%2C%22changeType%22%3A%22value%22%2C%22details%22%3A%22%E5%80%A4%E3%82%92%E6%9B%B4%E6%96%B0%20(6x2%201%2C%20%3D%5C%22Revenue%20grew%20at%20%5C%22%26TEXT(G6%2C%5C%220.0%25%5C%22)%26%5C%22%20CAGR%20from%20FY2021%20to%20FY2024%2C%20but%20FY2024%20YoY%20growth%20slowed%20to%20%5C%22%26TEXT(F7%2C%5C%220.0%25%5C%22)%26%5C%22.%5C%22%2C%202%20%2B9%20more)%22%2C%22lineNumber%22%3A126%2C%22meta%22%3A%7B%22liveCellSnapshot%22%3A%7B%22value%22%3A%221%22%2C%22formula%22%3A%22-%22%7D%7D%7D%2C%7B%22sheetName%22%3A%22Financial%20Analysis%22%2C%22address%22%3A%22A47%3AB52%22%2C%22changeType%22%3A%22format%22%2C%22details%22%3A%22%E6%9B%B8%E5%BC%8F%E3%82%92%E5%A4%89%E6%9B%B4%22%2C%22lineNumber%22%3A126%7D%2C%7B%22sheetName%22%3A%22Financial%20Analysis%22%2C%22address%22%3A%22A54%3AG54%22%2C%22changeType%22%3A%22value%22%2C%22details%22%3A%22%E5%80%A4%E3%82%92%E6%9B%B4%E6%96%B0%20(1x7%205.%20Integrity%20Checks)%22%2C%22lineNumber%22%3A137%2C%22meta%22%3A%7B%22liveCellSnapshot%22%3A%7B%22value%22%3A%225.%20Integrity%20Checks%22%2C%22formula%22%3A%22-%22%7D%7D%7D%2C%7B%22sheetName%22%3A%22Financial%20Analysis%22%2C%22address%22%3A%22A54%3AG54%22%2C%22changeType%22%3A%22format%22%2C%22details%22%3A%22%E6%9B%B8%E5%BC%8F%E3%82%92%E5%A4%89%E6%9B%B4%22%2C%22lineNumber%22%3A137%7D%2C%7B%22sheetName%22%3A%22Financial%20Analysis%22%2C%22address%22%3A%22A55%3AG59%22%2C%22changeType%22%3A%22value%22%2C%22details%22%3A%22%E5%80%A4%E3%82%92%E6%9B%B4%E6%96%B0%20(5x7%20Check%2C%20Rule%2C%20FY2021%20%2B32%20more)%22%2C%22lineNumber%22%3A138%2C%22meta%22%3A%7B%22liveCellSnapshot%22%3A%7B%22value%22%3A%22Check%22%2C%22formula%22%3A%22-%22%7D%7D%7D%2C%7B%22sheetName%22%3A%22Financial%20Analysis%22%2C%22address%22%3A%22A55%3AG59%22%2C%22changeType%22%3A%22format%22%2C%22details%22%3A%22%E6%9B%B8%E5%BC%8F%E3%82%92%E5%A4%89%E6%9B%B4%22%2C%22lineNumber%22%3A138%7D%2C%7B%22sheetName%22%3A%22Financial%20Analysis%22%2C%22address%22%3A%22A55%3AG55%22%2C%22changeType%22%3A%22format%22%2C%22details%22%3A%22%E6%9B%B8%E5%BC%8F%E3%82%92%E5%A4%89%E6%9B%B4%22%2C%22lineNumber%22%3A148%7D%2C%7B%22sheetName%22%3A%22Financial%20Analysis%22%2C%22address%22%3A%22A6%3AG59%22%2C%22changeType%22%3A%22format%22%2C%22details%22%3A%22%E6%9B%B8%E5%BC%8F%E3%82%92%E5%A4%89%E6%9B%B4%22%2C%22lineNumber%22%3A149%7D%2C%7B%22sheetName%22%3A%22Financial%20Analysis%22%2C%22address%22%3A%22A47%3AA52%22%2C%22changeType%22%3A%22format%22%2C%22details%22%3A%22%E6%9B%B8%E5%BC%8F%E3%82%92%E5%A4%89%E6%9B%B4%22%2C%22lineNumber%22%3A150%7D%2C%7B%22sheetName%22%3A%22Financial%20Analysis%22%2C%22address%22%3A%22C6%3AG6%22%2C%22changeType%22%3A%22format%22%2C%22details%22%3A%22%E6%9B%B8%E5%BC%8F%E3%82%92%E5%A4%89%E6%9B%B4%22%2C%22lineNumber%22%3A154%7D%2C%7B%22sheetName%22%3A%22Financial%20Analysis%22%2C%22address%22%3A%22C8%3AG8%22%2C%22changeType%22%3A%22format%22%2C%22details%22%3A%22%E6%9B%B8%E5%BC%8F%E3%82%92%E5%A4%89%E6%9B%B4%22%2C%22lineNumber%22%3A154%7D%2C%7B%22sheetName%22%3A%22Financial%20Analysis%22%2C%22address%22%3A%22C9%3AG9%22%2C%22changeType%22%3A%22format%22%2C%22details%22%3A%22%E6%9B%B8%E5%BC%8F%E3%82%92%E5%A4%89%E6%9B%B4%22%2C%22lineNumber%22%3A154%7D%2C%7B%22sheetName%22%3A%22Financial%20Analysis%22%2C%22address%22%3A%22C11%3AG11%22%2C%22changeType%22%3A%22format%22%2C%22details%22%3A%22%E6%9B%B8%E5%BC%8F%E3%82%92%E5%A4%89%E6%9B%B4%22%2C%22lineNumber%22%3A154%7D%2C%7B%22sheetName%22%3A%22Financial%20Analysis%22%2C%22address%22%3A%22C13%3AG13%22%2C%22changeType%22%3A%22format%22%2C%22details%22%3A%22%E6%9B%B8%E5%BC%8F%E3%82%92%E5%A4%89%E6%9B%B4%22%2C%22lineNumber%22%3A154%7D%2C%7B%22sheetName%22%3A%22Financial%20Analysis%22%2C%22address%22%3A%22C15%3AG15%22%2C%22changeType%22%3A%22format%22%2C%22details%22%3A%22%E6%9B%B8%E5%BC%8F%E3%82%92%E5%A4%89%E6%9B%B4%22%2C%22lineNumber%22%3A154%7D%2C%7B%22sheetName%22%3A%22Financial%20Analysis%22%2C%22address%22%3A%22C19%3AG19%22%2C%22changeType%22%3A%22format%22%2C%22details%22%3A%22%E6%9B%B8%E5%BC%8F%E3%82%92%E5%A4%89%E6%9B%B4%22%2C%22lineNumber%22%3A154%7D%2C%7B%22sheetName%22%3A%22Financial%20Analysis%22%2C%22address%22%3A%22C20%3AG20%22%2C%22changeType%22%3A%22format%22%2C%22details%22%3A%22%E6%9B%B8%E5%BC%8F%E3%82%92%E5%A4%89%E6%9B%B4%22%2C%22lineNumber%22%3A154%7D%2C%7B%22sheetName%22%3A%22Financial%20Analysis%22%2C%22address%22%3A%22C21%3AG21%22%2C%22changeType%22%3A%22format%22%2C%22details%22%3A%22%E6%9B%B8%E5%BC%8F%E3%82%92%E5%A4%89%E6%9B%B4%22%2C%22lineNumber%22%3A154%7D%2C%7B%22sheetName%22%3A%22Financial%20Analysis%22%2C%22address%22%3A%22C23%3AG23%22%2C%22changeType%22%3A%22format%22%2C%22details%22%3A%22%E6%9B%B8%E5%BC%8F%E3%82%92%E5%A4%89%E6%9B%B4%22%2C%22lineNumber%22%3A154%7D%2C%7B%22sheetName%22%3A%22Financial%20Analysis%22%2C%22address%22%3A%22C24%3AG24%22%2C%22changeType%22%3A%22format%22%2C%22details%22%3A%22%E6%9B%B8%E5%BC%8F%E3%82%92%E5%A4%89%E6%9B%B4%22%2C%22lineNumber%22%3A154%7D%2C%7B%22sheetName%22%3A%22Financial%20Analysis%22%2C%22address%22%3A%22C25%3AG25%22%2C%22changeType%22%3A%22format%22%2C%22details%22%3A%22%E6%9B%B8%E5%BC%8F%E3%82%92%E5%A4%89%E6%9B%B4%22%2C%22lineNumber%22%3A154%7D%2C%7B%22sheetName%22%3A%22Financial%20Analysis%22%2C%22address%22%3A%22C26%3AG26%22%2C%22changeType%22%3A%22format%22%2C%22details%22%3A%22%E6%9B%B8%E5%BC%8F%E3%82%92%E5%A4%89%E6%9B%B4%22%2C%22lineNumber%22%3A154%7D%2C%7B%22sheetName%22%3A%22Financial%20Analysis%22%2C%22address%22%3A%22C27%3AG27%22%2C%22changeType%22%3A%22format%22%2C%22details%22%3A%22%E6%9B%B8%E5%BC%8F%E3%82%92%E5%A4%89%E6%9B%B4%22%2C%22lineNumber%22%3A154%7D%2C%7B%22sheetName%22%3A%22Financial%20Analysis%22%2C%22address%22%3A%22C28%3AG28%22%2C%22changeType%22%3A%22format%22%2C%22details%22%3A%22%E6%9B%B8%E5%BC%8F%E3%82%92%E5%A4%89%E6%9B%B4%22%2C%22lineNumber%22%3A154%7D%2C%7B%22sheetName%22%3A%22Financial%20Analysis%22%2C%22address%22%3A%22C34%3AG34%22%2C%22changeType%22%3A%22format%22%2C%22details%22%3A%22%E6%9B%B8%E5%BC%8F%E3%82%92%E5%A4%89%E6%9B%B4%22%2C%22lineNumber%22%3A154%7D%2C%7B%22sheetName%22%3A%22Financial%20Analysis%22%2C%22address%22%3A%22C35%3AG35%22%2C%22changeType%22%3A%22format%22%2C%22details%22%3A%22%E6%9B%B8%E5%BC%8F%E3%82%92%E5%A4%89%E6%9B%B4%22%2C%22lineNumber%22%3A154%7D%2C%7B%22sheetName%22%3A%22Financial%20Analysis%22%2C%22address%22%3A%22C36%3AG36%22%2C%22changeType%22%3A%22format%22%2C%22details%22%3A%22%E6%9B%B8%E5%BC%8F%E3%82%92%E5%A4%89%E6%9B%B4%22%2C%22lineNumber%22%3A154%7D%2C%7B%22sheetName%22%3A%22Financial%20Analysis%22%2C%22address%22%3A%22C40%3AG40%22%2C%22changeType%22%3A%22format%22%2C%22details%22%3A%22%E6%9B%B8%E5%BC%8F%E3%82%92%E5%A4%89%E6%9B%B4%22%2C%22lineNumber%22%3A154%7D%2C%7B%22sheetName%22%3A%22Financial%20Analysis%22%2C%22address%22%3A%22C42%3AG42%22%2C%22changeType%22%3A%22format%22%2C%22details%22%3A%22%E6%9B%B8%E5%BC%8F%E3%82%92%E5%A4%89%E6%9B%B4%22%2C%22lineNumber%22%3A154%7D%2C%7B%22sheetName%22%3A%22Financial%20Analysis%22%2C%22address%22%3A%22C43%3AG43%22%2C%22changeType%22%3A%22format%22%2C%22details%22%3A%22%E6%9B%B8%E5%BC%8F%E3%82%92%E5%A4%89%E6%9B%B4%22%2C%22lineNumber%22%3A154%7D%2C%7B%22sheetName%22%3A%22Financial%20Analysis%22%2C%22address%22%3A%22C7%3AG7%22%2C%22changeType%22%3A%22format%22%2C%22details%22%3A%22%E6%9B%B8%E5%BC%8F%E3%82%92%E5%A4%89%E6%9B%B4%22%2C%22lineNumber%22%3A158%7D%2C%7B%22sheetName%22%3A%22Financial%20Analysis%22%2C%22address%22%3A%22C10%3AG10%22%2C%22changeType%22%3A%22format%22%2C%22details%22%3A%22%E6%9B%B8%E5%BC%8F%E3%82%92%E5%A4%89%E6%9B%B4%22%2C%22lineNumber%22%3A158%7D%2C%7B%22sheetName%22%3A%22Financial%20Analysis%22%2C%22address%22%3A%22C12%3AG12%22%2C%22changeType%22%3A%22format%22%2C%22details%22%3A%22%E6%9B%B8%E5%BC%8F%E3%82%92%E5%A4%89%E6%9B%B4%22%2C%22lineNumber%22%3A158%7D%2C%7B%22sheetName%22%3A%22Financial%20Analysis%22%2C%22address%22%3A%22C14%3AG14%22%2C%22changeType%22%3A%22format%22%2C%22details%22%3A%22%E6%9B%B8%E5%BC%8F%E3%82%92%E5%A4%89%E6%9B%B4%22%2C%22lineNumber%22%3A158%7D%2C%7B%22sheetName%22%3A%22Financial%20Analysis%22%2C%22address%22%3A%22C16%3AG16%22%2C%22changeType%22%3A%22format%22%2C%22details%22%3A%22%E6%9B%B8%E5%BC%8F%E3%82%92%E5%A4%89%E6%9B%B4%22%2C%22lineNumber%22%3A158%7D%2C%7B%22sheetName%22%3A%22Financial%20Analysis%22%2C%22address%22%3A%22C29%3AG29%22%2C%22changeType%22%3A%22format%22%2C%22details%22%3A%22%E6%9B%B8%E5%BC%8F%E3%82%92%E5%A4%89%E6%9B%B4%22%2C%22lineNumber%22%3A158%7D%2C%7B%22sheetName%22%3A%22Financial%20Analysis%22%2C%22address%22%3A%22C30%3AG30%22%2C%22changeType%22%3A%22format%22%2C%22details%22%3A%22%E6%9B%B8%E5%BC%8F%E3%82%92%E5%A4%89%E6%9B%B4%22%2C%22lineNumber%22%3A158%7D%2C%7B%22sheetName%22%3A%22Financial%20Analysis%22%2C%22address%22%3A%22C41%3AG41%22%2C%22changeType%22%3A%22format%22%2C%22details%22%3A%22%E6%9B%B8%E5%BC%8F%E3%82%92%E5%A4%89%E6%9B%B4%22%2C%22lineNumber%22%3A158%7D%2C%7B%22sheetName%22%3A%22Financial%20Analysis%22%2C%22address%22%3A%22C22%3AG22%22%2C%22changeType%22%3A%22format%22%2C%22details%22%3A%22%E6%9B%B8%E5%BC%8F%E3%82%92%E5%A4%89%E6%9B%B4%22%2C%22lineNumber%22%3A162%7D%2C%7B%22sheetName%22%3A%22Financial%20Analysis%22%2C%22address%22%3A%22C31%3AG31%22%2C%22changeType%22%3A%22format%22%2C%22details%22%3A%22%E6%9B%B8%E5%BC%8F%E3%82%92%E5%A4%89%E6%9B%B4%22%2C%22lineNumber%22%3A162%7D%2C%7B%22sheetName%22%3A%22Financial%20Analysis%22%2C%22address%22%3A%22C44%3AG44%22%2C%22changeType%22%3A%22format%22%2C%22details%22%3A%22%E6%9B%B8%E5%BC%8F%E3%82%92%E5%A4%89%E6%9B%B4%22%2C%22lineNumber%22%3A162%7D%2C%7B%22sheetName%22%3A%22Financial%20Analysis%22%2C%22address%22%3A%22C37%3AG37%22%2C%22changeType%22%3A%22format%22%2C%22details%22%3A%22%E6%9B%B8%E5%BC%8F%E3%82%92%E5%A4%89%E6%9B%B4%22%2C%22lineNumber%22%3A166%7D%2C%7B%22sheetName%22%3A%22Financial%20Analysis%22%2C%22address%22%3A%22C38%3AG38%22%2C%22changeType%22%3A%22format%22%2C%22details%22%3A%22%E6%9B%B8%E5%BC%8F%E3%82%92%E5%A4%89%E6%9B%B4%22%2C%22lineNumber%22%3A166%7D%2C%7B%22sheetName%22%3A%22Financial%20Analysis%22%2C%22address%22%3A%22C39%3AG39%22%2C%22changeType%22%3A%22format%22%2C%22details%22%3A%22%E6%9B%B8%E5%BC%8F%E3%82%92%E5%A4%89%E6%9B%B4%22%2C%22lineNumber%22%3A166%7D%2C%7B%22sheetName%22%3A%22Financial%20Analysis%22%2C%22address%22%3A%22A6%3AG16%22%2C%22changeType%22%3A%22format%22%2C%22details%22%3A%22%E7%BD%AB%E7%B7%9A%E3%82%92%E5%A4%89%E6%9B%B4%22%2C%22lineNumber%22%3A169%7D%2C%7B%22sheetName%22%3A%22Financial%20Analysis%22%2C%22address%22%3A%22A19%3AG31%22%2C%22changeType%22%3A%22format%22%2C%22details%22%3A%22%E7%BD%AB%E7%B7%9A%E3%82%92%E5%A4%89%E6%9B%B4%22%2C%22lineNumber%22%3A170%7D%2C%7B%22sheetName%22%3A%22Financial%20Analysis%22%2C%22address%22%3A%22A34%3AG44%22%2C%22changeType%22%3A%22format%22%2C%22details%22%3A%22%E7%BD%AB%E7%B7%9A%E3%82%92%E5%A4%89%E6%9B%B4%22%2C%22lineNumber%22%3A171%7D%2C%7B%22sheetName%22%3A%22Financial%20Analysis%22%2C%22address%22%3A%22A55%3AG59%22%2C%22changeType%22%3A%22format%22%2C%22details%22%3A%22%E7%BD%AB%E7%B7%9A%E3%82%92%E5%A4%89%E6%9B%B4%22%2C%22lineNumber%22%3A172%7D%2C%7B%22sheetName%22%3A%22Financial%20Analysis%22%2C%22address%22%3A%22%22%2C%22changeType%22%3A%22structural%22%2C%22details%22%3A%22%E5%90%8D%E5%89%8D%E4%BB%98%E3%81%8D%E7%AF%84%E5%9B%B2%E3%82%92%E7%99%BB%E9%8C%B2%20(_XC_RV_FinAnalysis.Takeaways)%22%2C%22lineNumber%22%3A174%7D%2C%7B%22sheetName%22%3A%22Financial%20Analysis%22%2C%22address%22%3A%22%22%2C%22changeType%22%3A%22structural%22%2C%22details%22%3A%22%E5%90%8D%E5%89%8D%E4%BB%98%E3%81%8D%E7%AF%84%E5%9B%B2%E3%82%92%E7%99%BB%E9%8C%B2%20(_XC_RV_FinAnalysis.Checks)%22%2C%22lineNumber%22%3A175%7D%5D%7D%5D</ChangeLogData>
</ExcelenceChangeLog>
</file>

<file path=customXml/itemProps1.xml><?xml version="1.0" encoding="utf-8"?>
<ds:datastoreItem xmlns:ds="http://schemas.openxmlformats.org/officeDocument/2006/customXml" ds:itemID="{1AAEE674-5E08-4BD4-B436-FC4C549BBEB5}">
  <ds:schemaRefs>
    <ds:schemaRef ds:uri="http://schemas.excelence.com/change-log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Balance Sheet</vt:lpstr>
      <vt:lpstr>P&amp;L</vt:lpstr>
      <vt:lpstr>Cash Flow</vt:lpstr>
      <vt:lpstr>Detailed 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Amaan Alam</dc:creator>
  <cp:lastModifiedBy>Amaan Alam</cp:lastModifiedBy>
  <dcterms:created xsi:type="dcterms:W3CDTF">2026-05-15T11:09:40Z</dcterms:created>
  <dcterms:modified xsi:type="dcterms:W3CDTF">2026-05-15T14:14:03Z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hortcut_file_id">
    <vt:lpwstr>1236fa4c-948f-41d9-bf7c-95b7caf68560</vt:lpwstr>
  </property>
</Properties>
</file>