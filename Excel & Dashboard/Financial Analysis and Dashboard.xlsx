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ma\Desktop\Finance Projects\Financial Statement Analysis &amp; Ratio Modelling (BHEL)\Excel &amp; Dashboard\"/>
    </mc:Choice>
  </mc:AlternateContent>
  <xr:revisionPtr revIDLastSave="0" documentId="13_ncr:1_{E803785D-3F09-4C73-BC36-F8EB876FFB9F}" xr6:coauthVersionLast="47" xr6:coauthVersionMax="47" xr10:uidLastSave="{00000000-0000-0000-0000-000000000000}"/>
  <bookViews>
    <workbookView xWindow="-120" yWindow="-120" windowWidth="23280" windowHeight="14880" tabRatio="603" activeTab="3" xr2:uid="{502A9526-9FB7-4F06-A6E6-7769CB149A03}"/>
  </bookViews>
  <sheets>
    <sheet name="Balance Sheet" sheetId="2" r:id="rId1"/>
    <sheet name="P&amp;L" sheetId="4" r:id="rId2"/>
    <sheet name="Cash Flow" sheetId="5" r:id="rId3"/>
    <sheet name="Detailed Analysis" sheetId="7" r:id="rId4"/>
    <sheet name="Dashboard" sheetId="8" r:id="rId5"/>
    <sheet name="__tracelight_scratchpad__" sheetId="3" state="veryHidden" r:id="rId6"/>
  </sheets>
  <definedNames>
    <definedName name="_XC_RV_FinAnalysis.Checks" comment="@xc_rv u=1778849115038 | 整合チェック" hidden="1">#REF!</definedName>
    <definedName name="_XC_RV_FinAnalysis.Takeaways" comment="@xc_rv u=1778849114980 | 主要示唆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7" l="1"/>
  <c r="J100" i="7"/>
  <c r="K100" i="7"/>
  <c r="L100" i="7"/>
  <c r="M100" i="7"/>
  <c r="I99" i="7"/>
  <c r="J99" i="7"/>
  <c r="K99" i="7"/>
  <c r="L99" i="7"/>
  <c r="M99" i="7"/>
  <c r="I98" i="7"/>
  <c r="J98" i="7"/>
  <c r="K98" i="7"/>
  <c r="L98" i="7"/>
  <c r="M98" i="7"/>
  <c r="I97" i="7"/>
  <c r="J97" i="7"/>
  <c r="K97" i="7"/>
  <c r="L97" i="7"/>
  <c r="M97" i="7"/>
  <c r="I96" i="7"/>
  <c r="J96" i="7"/>
  <c r="K96" i="7"/>
  <c r="L96" i="7"/>
  <c r="M96" i="7"/>
  <c r="I95" i="7"/>
  <c r="J95" i="7"/>
  <c r="K95" i="7"/>
  <c r="L95" i="7"/>
  <c r="M95" i="7"/>
  <c r="I94" i="7"/>
  <c r="J94" i="7"/>
  <c r="K94" i="7"/>
  <c r="L94" i="7"/>
  <c r="M94" i="7"/>
  <c r="M91" i="7"/>
  <c r="K90" i="7"/>
  <c r="I88" i="7"/>
  <c r="J88" i="7"/>
  <c r="K88" i="7"/>
  <c r="L88" i="7"/>
  <c r="M88" i="7"/>
  <c r="I87" i="7"/>
  <c r="K87" i="7"/>
  <c r="I85" i="7"/>
  <c r="I86" i="7" s="1"/>
  <c r="I84" i="7"/>
  <c r="I90" i="7" s="1"/>
  <c r="J84" i="7"/>
  <c r="J87" i="7" s="1"/>
  <c r="K84" i="7"/>
  <c r="K91" i="7" s="1"/>
  <c r="L84" i="7"/>
  <c r="L87" i="7" s="1"/>
  <c r="M84" i="7"/>
  <c r="M87" i="7" s="1"/>
  <c r="L83" i="7"/>
  <c r="M83" i="7"/>
  <c r="J82" i="7"/>
  <c r="I81" i="7"/>
  <c r="I82" i="7" s="1"/>
  <c r="J81" i="7"/>
  <c r="J85" i="7" s="1"/>
  <c r="J86" i="7" s="1"/>
  <c r="K81" i="7"/>
  <c r="K82" i="7" s="1"/>
  <c r="L81" i="7"/>
  <c r="L89" i="7" s="1"/>
  <c r="M81" i="7"/>
  <c r="M89" i="7" s="1"/>
  <c r="I78" i="7"/>
  <c r="J78" i="7"/>
  <c r="K78" i="7"/>
  <c r="L78" i="7"/>
  <c r="M78" i="7"/>
  <c r="I76" i="7"/>
  <c r="J76" i="7"/>
  <c r="K76" i="7"/>
  <c r="I73" i="7"/>
  <c r="J73" i="7"/>
  <c r="K73" i="7"/>
  <c r="L73" i="7"/>
  <c r="L76" i="7" s="1"/>
  <c r="M73" i="7"/>
  <c r="M76" i="7" s="1"/>
  <c r="I67" i="7"/>
  <c r="J67" i="7"/>
  <c r="K67" i="7"/>
  <c r="L67" i="7"/>
  <c r="M67" i="7"/>
  <c r="I64" i="7"/>
  <c r="L64" i="7"/>
  <c r="I63" i="7"/>
  <c r="J63" i="7"/>
  <c r="K63" i="7"/>
  <c r="L63" i="7"/>
  <c r="L65" i="7" s="1"/>
  <c r="J62" i="7"/>
  <c r="L62" i="7"/>
  <c r="M62" i="7"/>
  <c r="I61" i="7"/>
  <c r="J61" i="7"/>
  <c r="J64" i="7" s="1"/>
  <c r="K61" i="7"/>
  <c r="K64" i="7" s="1"/>
  <c r="L61" i="7"/>
  <c r="M61" i="7"/>
  <c r="M64" i="7" s="1"/>
  <c r="I60" i="7"/>
  <c r="J60" i="7"/>
  <c r="K60" i="7"/>
  <c r="L60" i="7"/>
  <c r="M60" i="7"/>
  <c r="M63" i="7" s="1"/>
  <c r="M65" i="7" s="1"/>
  <c r="I59" i="7"/>
  <c r="I62" i="7" s="1"/>
  <c r="I65" i="7" s="1"/>
  <c r="J59" i="7"/>
  <c r="K59" i="7"/>
  <c r="K62" i="7" s="1"/>
  <c r="L59" i="7"/>
  <c r="M59" i="7"/>
  <c r="I56" i="7"/>
  <c r="J56" i="7"/>
  <c r="K56" i="7"/>
  <c r="L56" i="7"/>
  <c r="M56" i="7"/>
  <c r="I55" i="7"/>
  <c r="J55" i="7"/>
  <c r="K55" i="7"/>
  <c r="L55" i="7"/>
  <c r="M55" i="7"/>
  <c r="I52" i="7"/>
  <c r="J52" i="7"/>
  <c r="K52" i="7"/>
  <c r="L52" i="7"/>
  <c r="M52" i="7"/>
  <c r="L49" i="7"/>
  <c r="M49" i="7"/>
  <c r="I48" i="7"/>
  <c r="J48" i="7"/>
  <c r="K48" i="7"/>
  <c r="L48" i="7"/>
  <c r="M48" i="7"/>
  <c r="I46" i="7"/>
  <c r="I40" i="7"/>
  <c r="J40" i="7" s="1"/>
  <c r="I37" i="7"/>
  <c r="J37" i="7"/>
  <c r="K37" i="7" s="1"/>
  <c r="L37" i="7" s="1"/>
  <c r="M37" i="7" s="1"/>
  <c r="I36" i="7"/>
  <c r="I38" i="7" s="1"/>
  <c r="J36" i="7"/>
  <c r="J38" i="7" s="1"/>
  <c r="K36" i="7"/>
  <c r="K38" i="7" s="1"/>
  <c r="L36" i="7"/>
  <c r="M36" i="7"/>
  <c r="I34" i="7"/>
  <c r="I47" i="7" s="1"/>
  <c r="I32" i="7"/>
  <c r="J32" i="7" s="1"/>
  <c r="I21" i="7"/>
  <c r="I18" i="7"/>
  <c r="J18" i="7"/>
  <c r="I15" i="7"/>
  <c r="J15" i="7"/>
  <c r="K15" i="7"/>
  <c r="I13" i="7"/>
  <c r="I12" i="7"/>
  <c r="J12" i="7"/>
  <c r="K12" i="7"/>
  <c r="K13" i="7" s="1"/>
  <c r="L12" i="7"/>
  <c r="L13" i="7" s="1"/>
  <c r="I7" i="7"/>
  <c r="J7" i="7"/>
  <c r="K7" i="7"/>
  <c r="I6" i="7"/>
  <c r="I11" i="7" s="1"/>
  <c r="J6" i="7"/>
  <c r="J8" i="7" s="1"/>
  <c r="J9" i="7" s="1"/>
  <c r="K6" i="7"/>
  <c r="K21" i="7" s="1"/>
  <c r="L6" i="7"/>
  <c r="L18" i="7" s="1"/>
  <c r="M6" i="7"/>
  <c r="M15" i="7" s="1"/>
  <c r="AC26" i="8"/>
  <c r="AB27" i="8"/>
  <c r="AB25" i="8"/>
  <c r="AB23" i="8"/>
  <c r="AA19" i="8"/>
  <c r="AB20" i="8"/>
  <c r="AA18" i="8"/>
  <c r="AB13" i="8"/>
  <c r="AA12" i="8"/>
  <c r="AC12" i="8"/>
  <c r="Y3" i="8"/>
  <c r="Q12" i="8"/>
  <c r="L12" i="8"/>
  <c r="G12" i="8"/>
  <c r="B12" i="8"/>
  <c r="Q7" i="8"/>
  <c r="L7" i="8"/>
  <c r="G7" i="8"/>
  <c r="B7" i="8"/>
  <c r="E195" i="7"/>
  <c r="F195" i="7"/>
  <c r="G195" i="7"/>
  <c r="H195" i="7"/>
  <c r="E194" i="7"/>
  <c r="F194" i="7"/>
  <c r="G194" i="7"/>
  <c r="H194" i="7"/>
  <c r="E193" i="7"/>
  <c r="F193" i="7"/>
  <c r="G193" i="7"/>
  <c r="H193" i="7"/>
  <c r="E192" i="7"/>
  <c r="F192" i="7"/>
  <c r="G192" i="7"/>
  <c r="H192" i="7"/>
  <c r="F98" i="7"/>
  <c r="E88" i="7"/>
  <c r="Z20" i="8" s="1"/>
  <c r="F88" i="7"/>
  <c r="AA20" i="8" s="1"/>
  <c r="G88" i="7"/>
  <c r="H88" i="7"/>
  <c r="AC20" i="8" s="1"/>
  <c r="E89" i="7"/>
  <c r="F89" i="7"/>
  <c r="G89" i="7"/>
  <c r="H89" i="7"/>
  <c r="E87" i="7"/>
  <c r="Z19" i="8" s="1"/>
  <c r="F87" i="7"/>
  <c r="G87" i="7"/>
  <c r="AB19" i="8" s="1"/>
  <c r="H87" i="7"/>
  <c r="AC19" i="8" s="1"/>
  <c r="E84" i="7"/>
  <c r="F84" i="7"/>
  <c r="G84" i="7"/>
  <c r="H84" i="7"/>
  <c r="E81" i="7"/>
  <c r="Z18" i="8" s="1"/>
  <c r="F81" i="7"/>
  <c r="G81" i="7"/>
  <c r="AB18" i="8" s="1"/>
  <c r="H81" i="7"/>
  <c r="AC18" i="8" s="1"/>
  <c r="H67" i="7"/>
  <c r="E61" i="7"/>
  <c r="F61" i="7"/>
  <c r="G61" i="7"/>
  <c r="H61" i="7"/>
  <c r="E60" i="7"/>
  <c r="F60" i="7"/>
  <c r="G60" i="7"/>
  <c r="H60" i="7"/>
  <c r="E59" i="7"/>
  <c r="F59" i="7"/>
  <c r="F62" i="7" s="1"/>
  <c r="AA31" i="8" s="1"/>
  <c r="G59" i="7"/>
  <c r="H59" i="7"/>
  <c r="E49" i="7"/>
  <c r="F49" i="7"/>
  <c r="G49" i="7"/>
  <c r="H49" i="7"/>
  <c r="E48" i="7"/>
  <c r="Z28" i="8" s="1"/>
  <c r="F48" i="7"/>
  <c r="AA28" i="8" s="1"/>
  <c r="G48" i="7"/>
  <c r="AB28" i="8" s="1"/>
  <c r="E40" i="7"/>
  <c r="Z25" i="8" s="1"/>
  <c r="F40" i="7"/>
  <c r="F41" i="7" s="1"/>
  <c r="G40" i="7"/>
  <c r="H73" i="7" s="1"/>
  <c r="H40" i="7"/>
  <c r="E39" i="7"/>
  <c r="F39" i="7"/>
  <c r="G39" i="7"/>
  <c r="H39" i="7"/>
  <c r="E37" i="7"/>
  <c r="Z23" i="8" s="1"/>
  <c r="F37" i="7"/>
  <c r="AA23" i="8" s="1"/>
  <c r="G37" i="7"/>
  <c r="H37" i="7"/>
  <c r="E36" i="7"/>
  <c r="Z22" i="8" s="1"/>
  <c r="F36" i="7"/>
  <c r="AA22" i="8" s="1"/>
  <c r="G36" i="7"/>
  <c r="AB22" i="8" s="1"/>
  <c r="H36" i="7"/>
  <c r="H48" i="7" s="1"/>
  <c r="AC28" i="8" s="1"/>
  <c r="E34" i="7"/>
  <c r="E47" i="7" s="1"/>
  <c r="Z27" i="8" s="1"/>
  <c r="F34" i="7"/>
  <c r="F47" i="7" s="1"/>
  <c r="AA27" i="8" s="1"/>
  <c r="G34" i="7"/>
  <c r="G47" i="7" s="1"/>
  <c r="H34" i="7"/>
  <c r="H46" i="7" s="1"/>
  <c r="E32" i="7"/>
  <c r="F32" i="7"/>
  <c r="G32" i="7"/>
  <c r="H32" i="7"/>
  <c r="E30" i="7"/>
  <c r="E43" i="7" s="1"/>
  <c r="F30" i="7"/>
  <c r="F43" i="7" s="1"/>
  <c r="G30" i="7"/>
  <c r="G43" i="7" s="1"/>
  <c r="H30" i="7"/>
  <c r="H54" i="7" s="1"/>
  <c r="E26" i="7"/>
  <c r="Z14" i="8" s="1"/>
  <c r="F26" i="7"/>
  <c r="AA14" i="8" s="1"/>
  <c r="G26" i="7"/>
  <c r="AB14" i="8" s="1"/>
  <c r="H26" i="7"/>
  <c r="H98" i="7" s="1"/>
  <c r="E24" i="7"/>
  <c r="F24" i="7"/>
  <c r="G24" i="7"/>
  <c r="H24" i="7"/>
  <c r="E22" i="7"/>
  <c r="F22" i="7"/>
  <c r="G22" i="7"/>
  <c r="H22" i="7"/>
  <c r="H25" i="7" s="1"/>
  <c r="E21" i="7"/>
  <c r="F21" i="7"/>
  <c r="G21" i="7"/>
  <c r="H21" i="7"/>
  <c r="E18" i="7"/>
  <c r="F18" i="7"/>
  <c r="G18" i="7"/>
  <c r="H18" i="7"/>
  <c r="E16" i="7"/>
  <c r="Z13" i="8" s="1"/>
  <c r="F16" i="7"/>
  <c r="F96" i="7" s="1"/>
  <c r="G16" i="7"/>
  <c r="H16" i="7"/>
  <c r="AC13" i="8" s="1"/>
  <c r="E14" i="7"/>
  <c r="F14" i="7"/>
  <c r="G14" i="7"/>
  <c r="H14" i="7"/>
  <c r="E15" i="7"/>
  <c r="F15" i="7"/>
  <c r="G15" i="7"/>
  <c r="H15" i="7"/>
  <c r="E11" i="7"/>
  <c r="F11" i="7"/>
  <c r="G11" i="7"/>
  <c r="H11" i="7"/>
  <c r="E8" i="7"/>
  <c r="F8" i="7"/>
  <c r="G8" i="7"/>
  <c r="H8" i="7"/>
  <c r="E9" i="7"/>
  <c r="F9" i="7"/>
  <c r="G9" i="7"/>
  <c r="G10" i="7" s="1"/>
  <c r="H9" i="7"/>
  <c r="H10" i="7" s="1"/>
  <c r="E6" i="7"/>
  <c r="Z12" i="8" s="1"/>
  <c r="F6" i="7"/>
  <c r="F7" i="7" s="1"/>
  <c r="G6" i="7"/>
  <c r="G7" i="7" s="1"/>
  <c r="H6" i="7"/>
  <c r="K89" i="7" l="1"/>
  <c r="J89" i="7"/>
  <c r="K49" i="7"/>
  <c r="K83" i="7"/>
  <c r="M85" i="7"/>
  <c r="M86" i="7" s="1"/>
  <c r="I89" i="7"/>
  <c r="L91" i="7"/>
  <c r="J49" i="7"/>
  <c r="M82" i="7"/>
  <c r="J83" i="7"/>
  <c r="L85" i="7"/>
  <c r="L86" i="7" s="1"/>
  <c r="M90" i="7"/>
  <c r="J91" i="7"/>
  <c r="I49" i="7"/>
  <c r="L82" i="7"/>
  <c r="I83" i="7"/>
  <c r="K85" i="7"/>
  <c r="K86" i="7" s="1"/>
  <c r="L90" i="7"/>
  <c r="I91" i="7"/>
  <c r="J90" i="7"/>
  <c r="K65" i="7"/>
  <c r="J65" i="7"/>
  <c r="M34" i="7"/>
  <c r="L34" i="7"/>
  <c r="K34" i="7"/>
  <c r="M42" i="7"/>
  <c r="L42" i="7"/>
  <c r="K32" i="7"/>
  <c r="K40" i="7"/>
  <c r="J41" i="7"/>
  <c r="J34" i="7"/>
  <c r="M38" i="7"/>
  <c r="I42" i="7"/>
  <c r="L38" i="7"/>
  <c r="I41" i="7"/>
  <c r="I30" i="7"/>
  <c r="M14" i="7"/>
  <c r="L14" i="7"/>
  <c r="L8" i="7"/>
  <c r="L9" i="7" s="1"/>
  <c r="K11" i="7"/>
  <c r="J14" i="7"/>
  <c r="J16" i="7" s="1"/>
  <c r="M21" i="7"/>
  <c r="L7" i="7"/>
  <c r="I8" i="7"/>
  <c r="I9" i="7" s="1"/>
  <c r="I10" i="7" s="1"/>
  <c r="M12" i="7"/>
  <c r="J13" i="7"/>
  <c r="L15" i="7"/>
  <c r="K18" i="7"/>
  <c r="J21" i="7"/>
  <c r="M8" i="7"/>
  <c r="M9" i="7" s="1"/>
  <c r="L11" i="7"/>
  <c r="K14" i="7"/>
  <c r="K8" i="7"/>
  <c r="K9" i="7" s="1"/>
  <c r="K10" i="7" s="1"/>
  <c r="J11" i="7"/>
  <c r="I14" i="7"/>
  <c r="M18" i="7"/>
  <c r="L21" i="7"/>
  <c r="M7" i="7"/>
  <c r="H91" i="7"/>
  <c r="AC14" i="8"/>
  <c r="AC22" i="8"/>
  <c r="H53" i="7"/>
  <c r="H41" i="7"/>
  <c r="E67" i="7"/>
  <c r="AB12" i="8"/>
  <c r="G91" i="7"/>
  <c r="G19" i="7"/>
  <c r="H62" i="7"/>
  <c r="AC31" i="8" s="1"/>
  <c r="AC23" i="8"/>
  <c r="AC25" i="8"/>
  <c r="AA13" i="8"/>
  <c r="AA25" i="8"/>
  <c r="B9" i="8" a="1"/>
  <c r="B9" i="8" s="1"/>
  <c r="L9" i="8" a="1"/>
  <c r="L9" i="8" s="1"/>
  <c r="L13" i="8" a="1"/>
  <c r="L13" i="8" s="1"/>
  <c r="G9" i="8" a="1"/>
  <c r="G9" i="8" s="1"/>
  <c r="B8" i="8" a="1"/>
  <c r="B8" i="8" s="1"/>
  <c r="L8" i="8" a="1"/>
  <c r="L8" i="8" s="1"/>
  <c r="G8" i="8" a="1"/>
  <c r="G8" i="8" s="1"/>
  <c r="G78" i="7"/>
  <c r="G62" i="7"/>
  <c r="AB31" i="8" s="1"/>
  <c r="H94" i="7"/>
  <c r="G74" i="7"/>
  <c r="G77" i="7" s="1"/>
  <c r="AB37" i="8" s="1"/>
  <c r="H72" i="7"/>
  <c r="G94" i="7"/>
  <c r="F74" i="7"/>
  <c r="F73" i="7"/>
  <c r="F76" i="7" s="1"/>
  <c r="AA36" i="8" s="1"/>
  <c r="E73" i="7"/>
  <c r="E76" i="7" s="1"/>
  <c r="Z36" i="8" s="1"/>
  <c r="F94" i="7"/>
  <c r="G23" i="7"/>
  <c r="H33" i="7"/>
  <c r="G42" i="7"/>
  <c r="G69" i="7" s="1"/>
  <c r="F23" i="7"/>
  <c r="G38" i="7"/>
  <c r="AB24" i="8" s="1"/>
  <c r="H43" i="7"/>
  <c r="H74" i="7" s="1"/>
  <c r="F10" i="7"/>
  <c r="E23" i="7"/>
  <c r="G46" i="7"/>
  <c r="AB26" i="8" s="1"/>
  <c r="F63" i="7"/>
  <c r="AA32" i="8" s="1"/>
  <c r="G67" i="7"/>
  <c r="H100" i="7"/>
  <c r="H12" i="7"/>
  <c r="H13" i="7" s="1"/>
  <c r="AC17" i="8" s="1"/>
  <c r="H96" i="7"/>
  <c r="E46" i="7"/>
  <c r="Z26" i="8" s="1"/>
  <c r="E63" i="7"/>
  <c r="Z32" i="8" s="1"/>
  <c r="F67" i="7"/>
  <c r="F53" i="7"/>
  <c r="G99" i="7"/>
  <c r="E53" i="7"/>
  <c r="H64" i="7"/>
  <c r="AC33" i="8" s="1"/>
  <c r="H76" i="7"/>
  <c r="AC36" i="8" s="1"/>
  <c r="H85" i="7"/>
  <c r="F99" i="7"/>
  <c r="H19" i="7"/>
  <c r="G27" i="7"/>
  <c r="AB16" i="8" s="1"/>
  <c r="G64" i="7"/>
  <c r="AB33" i="8" s="1"/>
  <c r="G73" i="7"/>
  <c r="G76" i="7"/>
  <c r="AB36" i="8" s="1"/>
  <c r="G85" i="7"/>
  <c r="F91" i="7"/>
  <c r="F19" i="7"/>
  <c r="G97" i="7" s="1"/>
  <c r="H23" i="7"/>
  <c r="F27" i="7"/>
  <c r="AA16" i="8" s="1"/>
  <c r="F42" i="7"/>
  <c r="F69" i="7" s="1"/>
  <c r="F64" i="7"/>
  <c r="AA33" i="8" s="1"/>
  <c r="F85" i="7"/>
  <c r="E91" i="7"/>
  <c r="G100" i="7"/>
  <c r="E12" i="7"/>
  <c r="E13" i="7" s="1"/>
  <c r="Z17" i="8" s="1"/>
  <c r="E19" i="7"/>
  <c r="E78" i="7" s="1"/>
  <c r="E27" i="7"/>
  <c r="Z16" i="8" s="1"/>
  <c r="F38" i="7"/>
  <c r="AA24" i="8" s="1"/>
  <c r="E42" i="7"/>
  <c r="E69" i="7" s="1"/>
  <c r="E66" i="7"/>
  <c r="E72" i="7"/>
  <c r="E75" i="7" s="1"/>
  <c r="Z35" i="8" s="1"/>
  <c r="E74" i="7"/>
  <c r="E85" i="7"/>
  <c r="F100" i="7"/>
  <c r="H17" i="7"/>
  <c r="AC15" i="8" s="1"/>
  <c r="G25" i="7"/>
  <c r="H27" i="7"/>
  <c r="AC16" i="8" s="1"/>
  <c r="E38" i="7"/>
  <c r="Z24" i="8" s="1"/>
  <c r="E62" i="7"/>
  <c r="Z31" i="8" s="1"/>
  <c r="E64" i="7"/>
  <c r="Z33" i="8" s="1"/>
  <c r="H66" i="7"/>
  <c r="H75" i="7"/>
  <c r="AC35" i="8" s="1"/>
  <c r="H82" i="7"/>
  <c r="H101" i="7"/>
  <c r="F25" i="7"/>
  <c r="H56" i="7"/>
  <c r="AC30" i="8" s="1"/>
  <c r="H63" i="7"/>
  <c r="AC32" i="8" s="1"/>
  <c r="G66" i="7"/>
  <c r="G72" i="7"/>
  <c r="G75" i="7" s="1"/>
  <c r="AB35" i="8" s="1"/>
  <c r="G82" i="7"/>
  <c r="G98" i="7"/>
  <c r="H102" i="7"/>
  <c r="E25" i="7"/>
  <c r="G53" i="7"/>
  <c r="G41" i="7"/>
  <c r="F46" i="7"/>
  <c r="AA26" i="8" s="1"/>
  <c r="G63" i="7"/>
  <c r="F66" i="7"/>
  <c r="F72" i="7"/>
  <c r="F75" i="7" s="1"/>
  <c r="AA35" i="8" s="1"/>
  <c r="F82" i="7"/>
  <c r="G96" i="7"/>
  <c r="H99" i="7"/>
  <c r="H103" i="7"/>
  <c r="F65" i="7"/>
  <c r="AA34" i="8" s="1"/>
  <c r="H90" i="7"/>
  <c r="F90" i="7"/>
  <c r="E82" i="7"/>
  <c r="E90" i="7"/>
  <c r="G90" i="7"/>
  <c r="H83" i="7"/>
  <c r="G83" i="7"/>
  <c r="F83" i="7"/>
  <c r="E83" i="7"/>
  <c r="G55" i="7"/>
  <c r="G20" i="7"/>
  <c r="F55" i="7"/>
  <c r="F20" i="7"/>
  <c r="E55" i="7"/>
  <c r="E20" i="7"/>
  <c r="G12" i="7"/>
  <c r="G33" i="7"/>
  <c r="G35" i="7"/>
  <c r="G52" i="7"/>
  <c r="AB29" i="8" s="1"/>
  <c r="G54" i="7"/>
  <c r="G56" i="7"/>
  <c r="AB30" i="8" s="1"/>
  <c r="F12" i="7"/>
  <c r="F33" i="7"/>
  <c r="F35" i="7"/>
  <c r="F52" i="7"/>
  <c r="AA29" i="8" s="1"/>
  <c r="F54" i="7"/>
  <c r="F56" i="7"/>
  <c r="AA30" i="8" s="1"/>
  <c r="H31" i="7"/>
  <c r="E33" i="7"/>
  <c r="E35" i="7"/>
  <c r="E52" i="7"/>
  <c r="Z29" i="8" s="1"/>
  <c r="E54" i="7"/>
  <c r="E56" i="7"/>
  <c r="Z30" i="8" s="1"/>
  <c r="G31" i="7"/>
  <c r="H38" i="7"/>
  <c r="AC24" i="8" s="1"/>
  <c r="H47" i="7"/>
  <c r="AC27" i="8" s="1"/>
  <c r="H55" i="7"/>
  <c r="H7" i="7"/>
  <c r="F31" i="7"/>
  <c r="G17" i="7"/>
  <c r="AB15" i="8" s="1"/>
  <c r="F17" i="7"/>
  <c r="AA15" i="8" s="1"/>
  <c r="E17" i="7"/>
  <c r="Z15" i="8" s="1"/>
  <c r="H35" i="7"/>
  <c r="H42" i="7"/>
  <c r="H69" i="7" s="1"/>
  <c r="H52" i="7"/>
  <c r="AC29" i="8" s="1"/>
  <c r="K47" i="7" l="1"/>
  <c r="K46" i="7"/>
  <c r="M69" i="7"/>
  <c r="M68" i="7"/>
  <c r="J46" i="7"/>
  <c r="J47" i="7"/>
  <c r="L69" i="7"/>
  <c r="L68" i="7"/>
  <c r="I68" i="7"/>
  <c r="I69" i="7"/>
  <c r="L47" i="7"/>
  <c r="L46" i="7"/>
  <c r="K42" i="7"/>
  <c r="M47" i="7"/>
  <c r="M46" i="7"/>
  <c r="I66" i="7"/>
  <c r="I53" i="7"/>
  <c r="I72" i="7"/>
  <c r="I75" i="7" s="1"/>
  <c r="I54" i="7"/>
  <c r="L32" i="7"/>
  <c r="K30" i="7"/>
  <c r="K33" i="7"/>
  <c r="J42" i="7"/>
  <c r="L40" i="7"/>
  <c r="K41" i="7"/>
  <c r="J30" i="7"/>
  <c r="J66" i="7" s="1"/>
  <c r="I43" i="7"/>
  <c r="I39" i="7"/>
  <c r="I31" i="7"/>
  <c r="I33" i="7"/>
  <c r="I35" i="7"/>
  <c r="J19" i="7"/>
  <c r="J17" i="7"/>
  <c r="L10" i="7"/>
  <c r="L16" i="7"/>
  <c r="M13" i="7"/>
  <c r="M16" i="7"/>
  <c r="M10" i="7"/>
  <c r="I16" i="7"/>
  <c r="K16" i="7"/>
  <c r="M11" i="7"/>
  <c r="J10" i="7"/>
  <c r="Q13" i="8" a="1"/>
  <c r="Q13" i="8" s="1"/>
  <c r="F86" i="7"/>
  <c r="AA21" i="8"/>
  <c r="G86" i="7"/>
  <c r="AB21" i="8"/>
  <c r="E86" i="7"/>
  <c r="Z21" i="8"/>
  <c r="H86" i="7"/>
  <c r="AC21" i="8"/>
  <c r="B14" i="8" a="1"/>
  <c r="B14" i="8" s="1"/>
  <c r="Q14" i="8" a="1"/>
  <c r="Q14" i="8" s="1"/>
  <c r="B13" i="8" a="1"/>
  <c r="B13" i="8" s="1"/>
  <c r="H65" i="7"/>
  <c r="AC34" i="8" s="1"/>
  <c r="E68" i="7"/>
  <c r="L14" i="8" a="1"/>
  <c r="L14" i="8" s="1"/>
  <c r="G14" i="8" a="1"/>
  <c r="G14" i="8" s="1"/>
  <c r="E65" i="7"/>
  <c r="Z34" i="8" s="1"/>
  <c r="G65" i="7"/>
  <c r="AB34" i="8" s="1"/>
  <c r="AB32" i="8"/>
  <c r="G68" i="7"/>
  <c r="Q8" i="8" a="1"/>
  <c r="Q8" i="8" s="1"/>
  <c r="G13" i="8" a="1"/>
  <c r="G13" i="8" s="1"/>
  <c r="Q9" i="8" a="1"/>
  <c r="Q9" i="8" s="1"/>
  <c r="F68" i="7"/>
  <c r="F13" i="7"/>
  <c r="AA17" i="8" s="1"/>
  <c r="F95" i="7"/>
  <c r="E77" i="7"/>
  <c r="Z37" i="8" s="1"/>
  <c r="G13" i="7"/>
  <c r="AB17" i="8" s="1"/>
  <c r="G95" i="7"/>
  <c r="H68" i="7"/>
  <c r="H95" i="7"/>
  <c r="F78" i="7"/>
  <c r="F77" i="7"/>
  <c r="AA37" i="8" s="1"/>
  <c r="F97" i="7"/>
  <c r="H20" i="7"/>
  <c r="H78" i="7"/>
  <c r="H97" i="7"/>
  <c r="H77" i="7"/>
  <c r="AC37" i="8" s="1"/>
  <c r="I74" i="7" l="1"/>
  <c r="I77" i="7" s="1"/>
  <c r="K68" i="7"/>
  <c r="K69" i="7"/>
  <c r="K72" i="7"/>
  <c r="K75" i="7" s="1"/>
  <c r="J53" i="7"/>
  <c r="K66" i="7"/>
  <c r="J54" i="7"/>
  <c r="J72" i="7"/>
  <c r="J75" i="7" s="1"/>
  <c r="K53" i="7"/>
  <c r="L66" i="7"/>
  <c r="K54" i="7"/>
  <c r="J68" i="7"/>
  <c r="J69" i="7"/>
  <c r="K43" i="7"/>
  <c r="K39" i="7"/>
  <c r="K31" i="7"/>
  <c r="K35" i="7"/>
  <c r="J43" i="7"/>
  <c r="J31" i="7"/>
  <c r="J39" i="7"/>
  <c r="J33" i="7"/>
  <c r="M40" i="7"/>
  <c r="M41" i="7" s="1"/>
  <c r="L41" i="7"/>
  <c r="J35" i="7"/>
  <c r="L30" i="7"/>
  <c r="M32" i="7"/>
  <c r="L33" i="7"/>
  <c r="I19" i="7"/>
  <c r="I17" i="7"/>
  <c r="M19" i="7"/>
  <c r="M17" i="7"/>
  <c r="L19" i="7"/>
  <c r="L17" i="7"/>
  <c r="K19" i="7"/>
  <c r="K17" i="7"/>
  <c r="J22" i="7"/>
  <c r="J20" i="7"/>
  <c r="K74" i="7" l="1"/>
  <c r="K77" i="7" s="1"/>
  <c r="L54" i="7"/>
  <c r="L53" i="7"/>
  <c r="M66" i="7"/>
  <c r="L72" i="7"/>
  <c r="L75" i="7" s="1"/>
  <c r="J74" i="7"/>
  <c r="J77" i="7" s="1"/>
  <c r="L43" i="7"/>
  <c r="L39" i="7"/>
  <c r="L31" i="7"/>
  <c r="L35" i="7"/>
  <c r="M30" i="7"/>
  <c r="M72" i="7" s="1"/>
  <c r="M75" i="7" s="1"/>
  <c r="M33" i="7"/>
  <c r="K22" i="7"/>
  <c r="K20" i="7"/>
  <c r="L22" i="7"/>
  <c r="L20" i="7"/>
  <c r="M20" i="7"/>
  <c r="M22" i="7"/>
  <c r="J24" i="7"/>
  <c r="J25" i="7" s="1"/>
  <c r="J23" i="7"/>
  <c r="I22" i="7"/>
  <c r="I20" i="7"/>
  <c r="L74" i="7" l="1"/>
  <c r="L77" i="7" s="1"/>
  <c r="M54" i="7"/>
  <c r="M53" i="7"/>
  <c r="M39" i="7"/>
  <c r="M31" i="7"/>
  <c r="M43" i="7"/>
  <c r="M74" i="7" s="1"/>
  <c r="M77" i="7" s="1"/>
  <c r="M35" i="7"/>
  <c r="M23" i="7"/>
  <c r="M24" i="7"/>
  <c r="M25" i="7" s="1"/>
  <c r="L23" i="7"/>
  <c r="L24" i="7"/>
  <c r="L25" i="7" s="1"/>
  <c r="I24" i="7"/>
  <c r="I25" i="7" s="1"/>
  <c r="I23" i="7"/>
  <c r="J26" i="7"/>
  <c r="J27" i="7" s="1"/>
  <c r="K24" i="7"/>
  <c r="K25" i="7" s="1"/>
  <c r="K26" i="7"/>
  <c r="K27" i="7" s="1"/>
  <c r="K23" i="7"/>
  <c r="L26" i="7" l="1"/>
  <c r="L27" i="7" s="1"/>
  <c r="M26" i="7"/>
  <c r="M27" i="7" s="1"/>
  <c r="I26" i="7"/>
  <c r="I27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<sst xmlns="http://schemas.openxmlformats.org/spreadsheetml/2006/main" count="521" uniqueCount="454">
  <si>
    <t>Bharat Heavy Electricals Limited - Consolidated Balance Sheet</t>
  </si>
  <si>
    <t>As at March 31</t>
  </si>
  <si>
    <t>(₹ in Crore)</t>
  </si>
  <si>
    <t>Particulars</t>
  </si>
  <si>
    <t>As at Mar 31, 2021</t>
  </si>
  <si>
    <t>As at Mar 31, 2022</t>
  </si>
  <si>
    <t>As at Mar 31, 2023</t>
  </si>
  <si>
    <t>As at Mar 31, 2024</t>
  </si>
  <si>
    <t>ASSETS</t>
  </si>
  <si>
    <t>Non-current assets</t>
  </si>
  <si>
    <t>Property, plant and equipment</t>
  </si>
  <si>
    <t>Capital work-in-progress</t>
  </si>
  <si>
    <t>Intangible assets</t>
  </si>
  <si>
    <t>Intangible assets under development</t>
  </si>
  <si>
    <t>Investment accounted for using equity method</t>
  </si>
  <si>
    <t>Financial assets:</t>
  </si>
  <si>
    <t>Investments (NC)</t>
  </si>
  <si>
    <t>Other financial assets (NC)</t>
  </si>
  <si>
    <t>Total financial assets (NC)</t>
  </si>
  <si>
    <t>Deferred tax assets (net)</t>
  </si>
  <si>
    <t>Other non-current assets</t>
  </si>
  <si>
    <t>Total non-current assets</t>
  </si>
  <si>
    <t>Current assets</t>
  </si>
  <si>
    <t>Inventories</t>
  </si>
  <si>
    <t>Trade receivables (Current)</t>
  </si>
  <si>
    <t>Cash and cash equivalents</t>
  </si>
  <si>
    <t>Bank balances other than cash and cash equivalents</t>
  </si>
  <si>
    <t>Other financial assets (Current)</t>
  </si>
  <si>
    <t>Total financial assets (Current)</t>
  </si>
  <si>
    <t>Current tax assets (net)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</si>
  <si>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</si>
  <si>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</si>
  <si>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</si>
  <si>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</si>
  <si>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</si>
  <si>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</si>
  <si>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</si>
  <si>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</si>
  <si>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</si>
  <si>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Financial liabilities:</t>
  </si>
  <si>
    <t>Lease Liabilities (NC)</t>
  </si>
  <si>
    <t>Trade payables (NC) - MSME</t>
  </si>
  <si>
    <t>Trade payables (NC) - Others</t>
  </si>
  <si>
    <t>Other financial liabilities (NC)</t>
  </si>
  <si>
    <t>Total financial liabilities (NC)</t>
  </si>
  <si>
    <t>Provisions (NC)</t>
  </si>
  <si>
    <t>Other non-current liabilities</t>
  </si>
  <si>
    <t>Total non-current liabilities</t>
  </si>
  <si>
    <t>Current liabilities</t>
  </si>
  <si>
    <t>Borrowings</t>
  </si>
  <si>
    <t>Lease Liabilities (Current)</t>
  </si>
  <si>
    <t>Trade payables (Current) - MSME</t>
  </si>
  <si>
    <t>Trade payables (Current) - Others</t>
  </si>
  <si>
    <t>Other financial liabilities (Current)</t>
  </si>
  <si>
    <t>Total financial liabilities (Current)</t>
  </si>
  <si>
    <t>Provisions (Current)</t>
  </si>
  <si>
    <t>Other current liabilities</t>
  </si>
  <si>
    <t>Total current liabilities</t>
  </si>
  <si>
    <t>Total liabilities</t>
  </si>
  <si>
    <t>TOTAL EQUITY AND LIABILITIES</t>
  </si>
  <si>
    <t>Bharat Heavy Electricals Limited - Consolidated Statement of Profit and Loss</t>
  </si>
  <si>
    <t>For the year ended March 31</t>
  </si>
  <si>
    <t>FY ended Mar 31, 2021</t>
  </si>
  <si>
    <t>FY ended Mar 31, 2022</t>
  </si>
  <si>
    <t>FY ended Mar 31, 2023</t>
  </si>
  <si>
    <t>FY ended Mar 31, 2024</t>
  </si>
  <si>
    <t>INCOME</t>
  </si>
  <si>
    <t>Revenue from operations</t>
  </si>
  <si>
    <t>Other income</t>
  </si>
  <si>
    <t>TOTAL INCOME</t>
  </si>
  <si>
    <t>EXPENSES</t>
  </si>
  <si>
    <t>Cost of raw materials consumed</t>
  </si>
  <si>
    <t>Purchases of Bought out items</t>
  </si>
  <si>
    <t>Civil, erection and engineering expenses</t>
  </si>
  <si>
    <t>Consumption of stores &amp; spares</t>
  </si>
  <si>
    <t>Changes in inventories of finished goods, WIP and Scrap</t>
  </si>
  <si>
    <t>Employee benefits expense</t>
  </si>
  <si>
    <t>Other Expenses</t>
  </si>
  <si>
    <t>Finance costs</t>
  </si>
  <si>
    <t>Depreciation &amp; amortisation expense</t>
  </si>
  <si>
    <t>TOTAL EXPENSES</t>
  </si>
  <si>
    <t>Profit / (loss) before share of JV and tax</t>
  </si>
  <si>
    <t>Share of net profit / (loss) of JV (equity method)</t>
  </si>
  <si>
    <t>PROFIT BEFORE TAX</t>
  </si>
  <si>
    <t>Tax expenses</t>
  </si>
  <si>
    <t>Current tax</t>
  </si>
  <si>
    <t>Deferred tax</t>
  </si>
  <si>
    <t>Total tax expense</t>
  </si>
  <si>
    <t>PROFIT FOR THE YEAR (A)</t>
  </si>
  <si>
    <t>OTHER COMPREHENSIVE INCOME</t>
  </si>
  <si>
    <t>Items that will not be reclassified to profit or loss (net of tax)</t>
  </si>
  <si>
    <t>Remeasurement of defined employee benefits</t>
  </si>
  <si>
    <t>Share of OCI of JV accounted using equity method</t>
  </si>
  <si>
    <t>OTHER COMPREHENSIVE INCOME FOR THE YEAR (B)</t>
  </si>
  <si>
    <t>TOTAL COMPREHENSIVE INCOME FOR THE YEAR (A+B)</t>
  </si>
  <si>
    <t>Earnings per equity share (Face value of Rs 2 each)</t>
  </si>
  <si>
    <t>Basic</t>
  </si>
  <si>
    <t>Diluted</t>
  </si>
  <si>
    <t>Bharat Heavy Electricals Limited - Consolidated Statement of Cash Flows</t>
  </si>
  <si>
    <t>A. CASH FLOW FROM OPERATING ACTIVITIES</t>
  </si>
  <si>
    <t>Profit / (Loss) before tax</t>
  </si>
  <si>
    <t>Adjustments for:</t>
  </si>
  <si>
    <t>Provision and write off</t>
  </si>
  <si>
    <t>Depreciation and amortisation</t>
  </si>
  <si>
    <t>Finance cost (including unwinding of interest)</t>
  </si>
  <si>
    <t>Interest &amp; dividend income</t>
  </si>
  <si>
    <t>Share of loss / (profit) in joint venture</t>
  </si>
  <si>
    <t>Divestment of stake in subsidiary</t>
  </si>
  <si>
    <t>Unrealised Foreign Exchange loss / (gain)</t>
  </si>
  <si>
    <t>Amortisation of Government Grant</t>
  </si>
  <si>
    <t>Others</t>
  </si>
  <si>
    <t>Cash generated / (used) in operations before working capital changes</t>
  </si>
  <si>
    <t>Adjustment for changes in working capital:</t>
  </si>
  <si>
    <t>Trade Receivables</t>
  </si>
  <si>
    <t>Contract Assets</t>
  </si>
  <si>
    <t>Loans, advances &amp; other assets</t>
  </si>
  <si>
    <t>Sub total (Assets side)</t>
  </si>
  <si>
    <t>Trade payable</t>
  </si>
  <si>
    <t>Advances from customers, deposits and others</t>
  </si>
  <si>
    <t>Provisions</t>
  </si>
  <si>
    <t>Sub total (Liabilities side)</t>
  </si>
  <si>
    <t>Net cash (used in) / from working capital</t>
  </si>
  <si>
    <t>Cash generated / (used) in operations</t>
  </si>
  <si>
    <t>Income taxes paid</t>
  </si>
  <si>
    <t>Refund of income taxes</t>
  </si>
  <si>
    <t>Net cash (used in) / from operating activities</t>
  </si>
  <si>
    <t>B. CASH FLOW FROM INVESTING ACTIVITIES</t>
  </si>
  <si>
    <t>Redemption / maturity of bank deposits (orig. maturity &gt; 3 months)</t>
  </si>
  <si>
    <t>Interest received</t>
  </si>
  <si>
    <t>Income received from mutual funds</t>
  </si>
  <si>
    <t>Sale proceeds from Investment</t>
  </si>
  <si>
    <t>Dividend received from joint ventures</t>
  </si>
  <si>
    <t>Sale of PPE &amp; Intangible Assets</t>
  </si>
  <si>
    <t>Purchase of PPE &amp; Intangible Assets</t>
  </si>
  <si>
    <t>Net cash (used in) / from investing activities</t>
  </si>
  <si>
    <t>C. CASH FLOW FROM FINANCING ACTIVITIES</t>
  </si>
  <si>
    <t>Proceeds from short term borrowings</t>
  </si>
  <si>
    <t>Repayment of lease obligation (Principal)</t>
  </si>
  <si>
    <t>Repayment of lease obligation (Interest)</t>
  </si>
  <si>
    <t>Dividend paid</t>
  </si>
  <si>
    <t>Interest paid</t>
  </si>
  <si>
    <t>Net cash (used in) / from financing activities</t>
  </si>
  <si>
    <t>D. Net increase / (decrease) in cash and cash equivalents</t>
  </si>
  <si>
    <t>Opening balance of cash and cash equivalents (excl. cash credit of subsidiary)</t>
  </si>
  <si>
    <t>Adjustment of Cash credit of subsidiary</t>
  </si>
  <si>
    <t>Closing balance of cash and cash equivalents</t>
  </si>
  <si>
    <t>Trade receivables (NC)`</t>
  </si>
  <si>
    <t>FY2021</t>
  </si>
  <si>
    <t>FY2022</t>
  </si>
  <si>
    <t>FY2023</t>
  </si>
  <si>
    <t>FY2024</t>
  </si>
  <si>
    <t>Revenue</t>
  </si>
  <si>
    <t>P&amp;L row 6</t>
  </si>
  <si>
    <t>Revenue growth</t>
  </si>
  <si>
    <t>Total income</t>
  </si>
  <si>
    <t>P&amp;L row 8</t>
  </si>
  <si>
    <t>P&amp;L row 22</t>
  </si>
  <si>
    <t>PBT margin</t>
  </si>
  <si>
    <t>PBT / Revenue</t>
  </si>
  <si>
    <t>P&amp;L row 27</t>
  </si>
  <si>
    <t>PAT margin</t>
  </si>
  <si>
    <t>PAT / Revenue</t>
  </si>
  <si>
    <t>Cash Flow row 32</t>
  </si>
  <si>
    <t>CFO / Revenue</t>
  </si>
  <si>
    <t>FCF / Revenue</t>
  </si>
  <si>
    <t>Total assets</t>
  </si>
  <si>
    <t>Balance Sheet row 31</t>
  </si>
  <si>
    <t>Balance Sheet row 30</t>
  </si>
  <si>
    <t>Current ratio</t>
  </si>
  <si>
    <t>Total cash</t>
  </si>
  <si>
    <t>Total debt</t>
  </si>
  <si>
    <t>Borrowings + lease liabilities</t>
  </si>
  <si>
    <t>Net cash / (debt)</t>
  </si>
  <si>
    <t>Total cash - total debt</t>
  </si>
  <si>
    <t>Balance Sheet row 36</t>
  </si>
  <si>
    <t>ROA</t>
  </si>
  <si>
    <t>ROE</t>
  </si>
  <si>
    <t>Debt / Equity</t>
  </si>
  <si>
    <t>Total debt / total equity</t>
  </si>
  <si>
    <t>Balance Sheet row 23</t>
  </si>
  <si>
    <t>Balance Sheet row 21</t>
  </si>
  <si>
    <t>Financing cash flow</t>
  </si>
  <si>
    <t>Cash Flow row 48</t>
  </si>
  <si>
    <t>Investing cash flow</t>
  </si>
  <si>
    <t>Cash Flow row 41</t>
  </si>
  <si>
    <t>Cash ratio</t>
  </si>
  <si>
    <t>PAT + OCI = TCI</t>
  </si>
  <si>
    <t>Bharat Heavy Electricals Limited - Detailed Financial Analysis</t>
  </si>
  <si>
    <t>Consolidated FY2021-FY2024  |  All figures in INR Crore</t>
  </si>
  <si>
    <t>Source / Definition</t>
  </si>
  <si>
    <t>1. INCOME STATEMENT &amp; PROFITABILITY</t>
  </si>
  <si>
    <t>Revenue growth (YoY)</t>
  </si>
  <si>
    <t>(Current / Prior) - 1</t>
  </si>
  <si>
    <t>P&amp;L row 7</t>
  </si>
  <si>
    <t>Total income growth (YoY)</t>
  </si>
  <si>
    <t>Less: Material &amp; direct costs</t>
  </si>
  <si>
    <t>P&amp;L rows 10-14</t>
  </si>
  <si>
    <t>Gross profit</t>
  </si>
  <si>
    <t>Revenue - Material &amp; direct costs</t>
  </si>
  <si>
    <t>Gross margin</t>
  </si>
  <si>
    <t>Gross profit / Revenue</t>
  </si>
  <si>
    <t>Less: Employee benefits expense</t>
  </si>
  <si>
    <t>P&amp;L row 15</t>
  </si>
  <si>
    <t>Less: Other expenses</t>
  </si>
  <si>
    <t>P&amp;L row 16</t>
  </si>
  <si>
    <t>EBITDA</t>
  </si>
  <si>
    <t>PBT + Finance + D&amp;A</t>
  </si>
  <si>
    <t>EBITDA margin</t>
  </si>
  <si>
    <t>EBITDA / Revenue</t>
  </si>
  <si>
    <t>Less: Depreciation &amp; amortisation</t>
  </si>
  <si>
    <t>P&amp;L row 18</t>
  </si>
  <si>
    <t>EBIT</t>
  </si>
  <si>
    <t>EBITDA - D&amp;A</t>
  </si>
  <si>
    <t>EBIT margin</t>
  </si>
  <si>
    <t>EBIT / Revenue</t>
  </si>
  <si>
    <t>Less: Finance costs</t>
  </si>
  <si>
    <t>P&amp;L row 17</t>
  </si>
  <si>
    <t>Profit before tax (PBT)</t>
  </si>
  <si>
    <t>Less: Total tax expense</t>
  </si>
  <si>
    <t>P&amp;L row 26</t>
  </si>
  <si>
    <t>Effective tax rate</t>
  </si>
  <si>
    <t>Tax / PBT</t>
  </si>
  <si>
    <t>Profit after tax (PAT)</t>
  </si>
  <si>
    <t>2. BALANCE SHEET SNAPSHOT</t>
  </si>
  <si>
    <t>Asset growth (YoY)</t>
  </si>
  <si>
    <t>Balance Sheet row 19</t>
  </si>
  <si>
    <t>% of total assets</t>
  </si>
  <si>
    <t>NC assets / Total assets</t>
  </si>
  <si>
    <t>Current assets / Total assets</t>
  </si>
  <si>
    <t>Total cash &amp; bank balances</t>
  </si>
  <si>
    <t>BS rows 24 + 25</t>
  </si>
  <si>
    <t>Balance Sheet row 58</t>
  </si>
  <si>
    <t>Equity growth (YoY)</t>
  </si>
  <si>
    <t>Working capital (CA - CL)</t>
  </si>
  <si>
    <t>Current assets - current liabilities</t>
  </si>
  <si>
    <t>Capital employed</t>
  </si>
  <si>
    <t>Total assets - current liabilities</t>
  </si>
  <si>
    <t>3. LIQUIDITY RATIOS</t>
  </si>
  <si>
    <t>CA / CL</t>
  </si>
  <si>
    <t>Quick ratio</t>
  </si>
  <si>
    <t>(CA - Inventories) / CL</t>
  </si>
  <si>
    <t>Total cash / CL</t>
  </si>
  <si>
    <t>Operating cash flow ratio</t>
  </si>
  <si>
    <t>CFO / CL</t>
  </si>
  <si>
    <t>4. SOLVENCY &amp; LEVERAGE</t>
  </si>
  <si>
    <t>Debt / Total assets</t>
  </si>
  <si>
    <t>Total debt / total assets</t>
  </si>
  <si>
    <t>Equity multiplier</t>
  </si>
  <si>
    <t>Total assets / total equity</t>
  </si>
  <si>
    <t>Interest coverage</t>
  </si>
  <si>
    <t>EBIT / Finance costs</t>
  </si>
  <si>
    <t>Debt / EBITDA</t>
  </si>
  <si>
    <t>Total debt / EBITDA</t>
  </si>
  <si>
    <t>5. ACTIVITY &amp; EFFICIENCY</t>
  </si>
  <si>
    <t>Trade payables (Current)</t>
  </si>
  <si>
    <t>BS rows 51 + 52</t>
  </si>
  <si>
    <t>Days Sales Outstanding (DSO)</t>
  </si>
  <si>
    <t>AR / Revenue * 365</t>
  </si>
  <si>
    <t>Days Inventory Outstanding (DIO)</t>
  </si>
  <si>
    <t>Inventories / Revenue * 365</t>
  </si>
  <si>
    <t>Days Payable Outstanding (DPO)</t>
  </si>
  <si>
    <t>AP / Revenue * 365</t>
  </si>
  <si>
    <t>Cash Conversion Cycle</t>
  </si>
  <si>
    <t>DSO + DIO - DPO</t>
  </si>
  <si>
    <t>Asset turnover</t>
  </si>
  <si>
    <t>Revenue / Average assets</t>
  </si>
  <si>
    <t>Fixed asset turnover</t>
  </si>
  <si>
    <t>Revenue / PP&amp;E</t>
  </si>
  <si>
    <t>Working capital turnover</t>
  </si>
  <si>
    <t>Revenue / Working capital</t>
  </si>
  <si>
    <t>Working capital / Revenue</t>
  </si>
  <si>
    <t>6. PROFITABILITY &amp; RETURNS</t>
  </si>
  <si>
    <t>Average total assets</t>
  </si>
  <si>
    <t>(Opening + Closing) / 2; FY21 closing</t>
  </si>
  <si>
    <t>Average total equity</t>
  </si>
  <si>
    <t>Average capital employed</t>
  </si>
  <si>
    <t>Return on Assets (ROA)</t>
  </si>
  <si>
    <t>PAT / Average assets</t>
  </si>
  <si>
    <t>Return on Equity (ROE)</t>
  </si>
  <si>
    <t>PAT / Average equity</t>
  </si>
  <si>
    <t>Return on Capital Employed (ROCE)</t>
  </si>
  <si>
    <t>EBIT / Average capital employed</t>
  </si>
  <si>
    <t>Return on Sales (ROS)</t>
  </si>
  <si>
    <t>7. CASH FLOW ANALYSIS</t>
  </si>
  <si>
    <t>Operating cash flow (CFO)</t>
  </si>
  <si>
    <t>CFO / Net income</t>
  </si>
  <si>
    <t>CFO / PAT (cash earnings quality)</t>
  </si>
  <si>
    <t>Capital expenditure</t>
  </si>
  <si>
    <t>Cash Flow row 40 (absolute)</t>
  </si>
  <si>
    <t>Free cash flow (FCF)</t>
  </si>
  <si>
    <t>CFO - Capex</t>
  </si>
  <si>
    <t>Net change in cash</t>
  </si>
  <si>
    <t>Cash Flow row 49</t>
  </si>
  <si>
    <t>Capex / Revenue</t>
  </si>
  <si>
    <t>Capex / Depreciation</t>
  </si>
  <si>
    <t>Capex / D&amp;A (reinvestment ratio)</t>
  </si>
  <si>
    <t>8. GROWTH METRICS (YoY)</t>
  </si>
  <si>
    <t>P&amp;L row 6 YoY</t>
  </si>
  <si>
    <t>Gross profit growth</t>
  </si>
  <si>
    <t>Gross profit YoY</t>
  </si>
  <si>
    <t>EBITDA growth</t>
  </si>
  <si>
    <t>EBITDA YoY</t>
  </si>
  <si>
    <t>EBIT growth</t>
  </si>
  <si>
    <t>EBIT YoY</t>
  </si>
  <si>
    <t>PAT growth</t>
  </si>
  <si>
    <t>PAT YoY (n/a if prior-year loss)</t>
  </si>
  <si>
    <t>Total assets growth</t>
  </si>
  <si>
    <t>BS row 31 YoY</t>
  </si>
  <si>
    <t>Equity growth</t>
  </si>
  <si>
    <t>BS row 36 YoY</t>
  </si>
  <si>
    <t>Revenue CAGR FY21-FY24</t>
  </si>
  <si>
    <t>3-year CAGR</t>
  </si>
  <si>
    <t>Total income CAGR FY21-FY24</t>
  </si>
  <si>
    <t>Assets CAGR FY21-FY24</t>
  </si>
  <si>
    <t>Revenue &amp; Income</t>
  </si>
  <si>
    <t>Revenue grew at ~11.3% CAGR from FY21 to FY24 (17,308.7 to 23,892.8) but FY24 YoY growth slowed sharply to 2.3%, pointing to top-line momentum loss.</t>
  </si>
  <si>
    <t>Gross margin compressed from 31.4% in FY21 to 29.7% in FY24, indicating rising material and direct-cost intensity that is eroding underlying profitability.</t>
  </si>
  <si>
    <t>EBITDA recovered from a loss of (2,748.7) in FY21 (one-off provision impact) to 1,222.9 in FY24 but the FY24 EBITDA margin of 5.1% remains structurally low for an engineering business.</t>
  </si>
  <si>
    <t>Profitability</t>
  </si>
  <si>
    <t>PAT swung from (2,699.7) in FY21 to 282.2 in FY24; however PAT margin halved from 2.1% (FY22) to 1.2% (FY24) on rising finance and other costs.</t>
  </si>
  <si>
    <t>ROE remains weak at 1.1% in FY24 (vs 1.8% in FY23); ROCE is similarly subdued, signalling capital is not earning its cost.</t>
  </si>
  <si>
    <t>Effective tax rate is volatile due to deferred tax movements; in FY21 the tax shield boosted reported losses (effective rate of 24.9% on a loss).</t>
  </si>
  <si>
    <t>Liquidity &amp; Solvency</t>
  </si>
  <si>
    <t>Current ratio held above 1.0x (1.36x in FY24) but cash ratio fell from 0.33x (FY21) to 0.24x (FY24) - liquidity is increasingly inventory- and receivable-dependent.</t>
  </si>
  <si>
    <t>Total debt rose 78% YoY in FY24 to 8,856.5 (vs 5,453.5 in FY23) driven by short-term borrowings; the company moved from net cash of 1,189.1 to net debt of (2,699.0).</t>
  </si>
  <si>
    <t>D/E rose from 0.20x to 0.36x and Debt/EBITDA worsened to 7.24x in FY24, indicating leverage strain relative to cash earnings power.</t>
  </si>
  <si>
    <t>Working Capital &amp; Cash Flow</t>
  </si>
  <si>
    <t>Operating cash flow deteriorated materially - CFO of (3,712.9) in FY24 vs +660.3 in FY22 - driven by a 2,469 build in trade receivables and 1,244 contract-asset growth.</t>
  </si>
  <si>
    <t>Cash Conversion Cycle deteriorated: DSO + DIO - DPO widened, signalling slower cash collection and weaker working-capital discipline.</t>
  </si>
  <si>
    <t>FCF of (3,945.4) in FY24 (vs (929.9) in FY23) combined with rising debt suggests the company is funding operating shortfalls through borrowings.</t>
  </si>
  <si>
    <t>Returns &amp; Activity</t>
  </si>
  <si>
    <t>Asset turnover remains low at ~0.40x (FY24), reflecting heavy non-current assets (deferred tax, long-term receivables) relative to revenue.</t>
  </si>
  <si>
    <t>Working capital intensity is elevated at 38.6% of revenue in FY24, tying up significant operating cash.</t>
  </si>
  <si>
    <t>Balance Sheet balances</t>
  </si>
  <si>
    <t>Total assets = Total equity + liabilities</t>
  </si>
  <si>
    <t>Cash matches Balance Sheet</t>
  </si>
  <si>
    <t>CF closing cash - BS cash line</t>
  </si>
  <si>
    <t>PBT cross-check (P&amp;L vs CF)</t>
  </si>
  <si>
    <t>P&amp;L PBT - CF PBT</t>
  </si>
  <si>
    <t>P&amp;L row 27 + 32 - 33</t>
  </si>
  <si>
    <t>10. FY2022 YEAR-IN-REVIEW</t>
  </si>
  <si>
    <t>Revenue rebounded sharply to 21,211.1 (+22.5% YoY) from the pandemic-affected FY21 base of 17,308.7, marking the strongest growth year in the series.</t>
  </si>
  <si>
    <t>Total income grew 22.1% to 21,565.6; other income at 354.5 (1.6% of total) - operating revenue was the principal recovery driver, not non-operating items.</t>
  </si>
  <si>
    <t>PBT swung 4,066.4 to a profit of 470.5 (from a (3,595.9) loss), reflecting absence of the large FY21 provisions/write-offs that had inflated other expenses.</t>
  </si>
  <si>
    <t>PAT margin recovered to 2.1% (from -15.6%); gross margin compressed modestly from 31.4% to 30.3% as material and direct-cost intensity ticked up.</t>
  </si>
  <si>
    <t>ROE re-established at 1.7% and ROA at 0.8% - return profile restored but still subdued for an engineering &amp; capital goods business of this scale.</t>
  </si>
  <si>
    <t>Liquidity tightened slightly: current ratio fell from 1.39x to 1.30x as current liabilities outpaced current assets; cash ratio held flat at 0.33x.</t>
  </si>
  <si>
    <t>Total debt declined to 4,829.9 (-2.4% YoY), driven by lease liability repayments; net cash position improved from 1,750.6 to 2,323.8.</t>
  </si>
  <si>
    <t>D/E ratio improved to 0.18x - the lowest leverage in the series - signalling a conservative capital structure post-FY21 stress.</t>
  </si>
  <si>
    <t>Operating cash flow improved to 660.3 (vs 560.0 in FY21); FCF of 490.9 confirmed organic cash generation despite the moderate PAT level.</t>
  </si>
  <si>
    <t>Major receivables release: DSO collapsed from 85.1 to 52.0 days - a 33-day collection improvement that freed significant working capital.</t>
  </si>
  <si>
    <t>Inventory days improved from 151.7 to 112.9 as inventory cycles aligned with order delivery; working capital intensity fell from 46.1% to 30.6% of revenue.</t>
  </si>
  <si>
    <t>Asset turnover ticked up to 0.38x (from 0.31x) as revenue recovered against a broadly stable asset base of 56,243.8.</t>
  </si>
  <si>
    <t>Capex of 169.4 was the lowest in the series, indicating limited reinvestment despite the operational recovery - reinvestment ratio of just 0.54x of D&amp;A.</t>
  </si>
  <si>
    <t>11. FY2021 YEAR-IN-REVIEW</t>
  </si>
  <si>
    <t>Revenue at 17,308.7 represents a depressed top-line, with project execution disrupted by COVID-19 and a broader infrastructure capex slowdown.</t>
  </si>
  <si>
    <t>Other income contributed 348.4 (2.0% of total income) - operating revenue dominated the income mix; no meaningful non-operating support.</t>
  </si>
  <si>
    <t>PBT loss of (3,595.9) was driven by Other Expenses spiking to 3,201.2 (vs ~163 in FY22), reflecting one-off provisions, write-offs and exceptional charges.</t>
  </si>
  <si>
    <t>Gross margin at 31.4% was the highest in the series - the loss originated below the gross line in employee costs (5,378.2) and exceptional other expenses, not in core operations.</t>
  </si>
  <si>
    <t>Reported tax credit of (896.2) included a 912.1 deferred tax benefit, materially cushioning the headline bottom-line loss of (2,699.7).</t>
  </si>
  <si>
    <t>Despite the heavy loss, balance sheet stayed robust: current ratio at 1.39x and total equity of 25,972.0 covered total liabilities ~0.89x.</t>
  </si>
  <si>
    <t>Net cash position of 1,750.6 (cash 6,701.5 against debt 4,950.9) provided substantial financial buffer through the loss-making year.</t>
  </si>
  <si>
    <t>D/E at 0.19x reflected conservative pre-FY22 capital structure; Debt/EBITDA was meaningless given negative EBITDA of (2,748.7).</t>
  </si>
  <si>
    <t>Operating cash flow stayed positive at 560.0 despite the PAT loss - non-cash provisions of 1,241.1 and depreciation of 473.3 bridged the accounting-to-cash gap.</t>
  </si>
  <si>
    <t>FCF of 309.6 indicates the FY21 loss was largely a non-cash accounting event (provisions, deferred tax) rather than an immediate liquidity crisis.</t>
  </si>
  <si>
    <t>Working capital was inflated: DSO of 85.1 days and DIO of 151.7 days were both the highest in the series, with working capital at 46.1% of revenue.</t>
  </si>
  <si>
    <t>ROE at -10.4% and ROA at -4.9% reflect the loss-making year; both metrics improved sharply in FY22 on operational recovery.</t>
  </si>
  <si>
    <t>Asset turnover at 0.31x was the lowest in the series, indicating capital was poorly utilized against the depressed revenue base.</t>
  </si>
  <si>
    <t>12. INTEGRITY CHECKS</t>
  </si>
  <si>
    <t>9. FY2024 YEAR-IN-REVIEW</t>
  </si>
  <si>
    <t>BHEL  |  FINANCIAL DASHBOARD</t>
  </si>
  <si>
    <t>Bharat Heavy Electricals Limited - Consolidated FY2021-FY2024 (₹ Crore)</t>
  </si>
  <si>
    <t>▶ SPOTLIGHT YEAR:</t>
  </si>
  <si>
    <t>◀ Change the cell to update all KPI tiles. Type FY2021, FY2022, FY2023, or FY2024.</t>
  </si>
  <si>
    <t>REVENUE</t>
  </si>
  <si>
    <t>PROFIT AFTER TAX</t>
  </si>
  <si>
    <t>FREE CASH FLOW</t>
  </si>
  <si>
    <t>NET CASH / (DEBT)</t>
  </si>
  <si>
    <t>RETURN ON EQUITY</t>
  </si>
  <si>
    <t>CURRENT RATIO</t>
  </si>
  <si>
    <t>DEBT / EBITDA</t>
  </si>
  <si>
    <t>4-YEAR TRENDS  |  ALL FIGURES IN ₹ CRORE UNLESS NOTED</t>
  </si>
  <si>
    <t>— helper data (hidden axis) —</t>
  </si>
  <si>
    <t>PAT</t>
  </si>
  <si>
    <t>CFO</t>
  </si>
  <si>
    <t>Investing CF</t>
  </si>
  <si>
    <t>Financing CF</t>
  </si>
  <si>
    <t>FCF</t>
  </si>
  <si>
    <t>Net cash/(debt)</t>
  </si>
  <si>
    <t>D/E</t>
  </si>
  <si>
    <t>Debt/EBITDA</t>
  </si>
  <si>
    <t>DSO</t>
  </si>
  <si>
    <t>DIO</t>
  </si>
  <si>
    <t>DPO</t>
  </si>
  <si>
    <t>CCC</t>
  </si>
  <si>
    <t>ROCE</t>
  </si>
  <si>
    <t>KEY OBSERVATIONS  |  FY2021 → FY2024</t>
  </si>
  <si>
    <t>INSIGHTS &amp; RECOMMENDATIONS</t>
  </si>
  <si>
    <t>↑ STRENGTH  |  Operational Recovery</t>
  </si>
  <si>
    <t>Revenue rebuilt from ₹17,309 Cr (FY21) to ₹23,893 Cr (FY24) at 11.3% CAGR; EBITDA turned from a (2,749) loss to +1,223; PAT positive every year since FY22. The operational engine is functioning despite cyclical headwinds.</t>
  </si>
  <si>
    <t>↓ RISK  |  Cash Flow Reversal</t>
  </si>
  <si>
    <t>Operating cash flow swung from +₹660 Cr (FY22) to (₹3,713) Cr (FY24). FCF deteriorated to (₹3,945) Cr. The deterioration is concentrated in working capital - receivables built ₹2,469 Cr and contract assets continue expanding, signalling slower collections on long-cycle projects.</t>
  </si>
  <si>
    <t>↓ RISK  |  Leverage Inflection</t>
  </si>
  <si>
    <t>Net position moved from net cash of ₹1,189 Cr (FY23) to net debt of (₹2,699) Cr (FY24). Total debt grew 78% YoY to ₹8,857 Cr - short-term borrowings funding working capital. Debt / EBITDA at 7.24x is materially stretched for an engineering business.</t>
  </si>
  <si>
    <t>→ WATCH  |  Margin Compression</t>
  </si>
  <si>
    <t>Gross margin contracted from 31.4% (FY21) to 29.7% (FY24); EBITDA margin at 5.1% remains structurally thin. Material and direct-cost intensity is rising while finance costs nearly doubled - from ₹374 Cr (FY21) to ₹731 Cr (FY24).</t>
  </si>
  <si>
    <t>→ WATCH  |  Return Profile Weak</t>
  </si>
  <si>
    <t>ROE at 1.1% and ROCE at 2.8% (FY24) are well below cost of capital. Asset turnover at 0.40x reflects heavy non-current assets (deferred tax, long-term receivables) that are not generating proportional revenue.</t>
  </si>
  <si>
    <t>↑ STRENGTH  |  Liquidity Cushion</t>
  </si>
  <si>
    <t>Current ratio of 1.36x and quick ratio of 1.08x remain above 1.0x. Total cash &amp; bank balances of ₹6,157 Cr in FY24 still provide a meaningful buffer even after the leverage build.</t>
  </si>
  <si>
    <t>■ RECOMMENDED ACTIONS  |  Working Capital</t>
  </si>
  <si>
    <t>Tighten collections discipline - DSO rose from 49 to 73 days; review project milestone-billing terms. Consider receivables factoring/securitization to release tied-up cash and reduce reliance on short-term borrowings.</t>
  </si>
  <si>
    <t>■ RECOMMENDED ACTIONS  |  Capital Structure</t>
  </si>
  <si>
    <t>Term out short-term borrowings into longer-tenor debt to better match long-cycle project assets. Re-establish a net cash buffer through asset monetisation (long-term receivables, surplus land) to reduce Debt/EBITDA below 3.0x.</t>
  </si>
  <si>
    <t>■ RECOMMENDED ACTIONS  |  Margin Restoration</t>
  </si>
  <si>
    <t>Renegotiate input contracts and review pricing on long-cycle orders booked at outdated cost assumptions. Track project-level margin to identify drag from legacy orders. Target EBITDA margin of 8-10% by FY26.</t>
  </si>
  <si>
    <t>NOTE</t>
  </si>
  <si>
    <t>All figures are pulled live from the Detailed Analysis sheet. Change the Spotlight Year cell (C4) to refresh the KPI tiles. Source statements: P&amp;L, Balance Sheet, Cash Flow. Currency: INR Crore unless otherwise noted.</t>
  </si>
  <si>
    <t>FY2025E</t>
  </si>
  <si>
    <t>FY2026E</t>
  </si>
  <si>
    <t>FY2027E</t>
  </si>
  <si>
    <t>FY2028E</t>
  </si>
  <si>
    <t>FY2029E</t>
  </si>
  <si>
    <t>9. FORECAST ASSUMPTIONS (FY2025E-FY2029E)</t>
  </si>
  <si>
    <t>Growth Driver</t>
  </si>
  <si>
    <t>Revenue growth (% YoY)</t>
  </si>
  <si>
    <t>Manual input - drives revenue forecast</t>
  </si>
  <si>
    <t>Margins (% of Revenue)</t>
  </si>
  <si>
    <t>FY22-FY24 avg: 30.1%</t>
  </si>
  <si>
    <t>Other income / Revenue</t>
  </si>
  <si>
    <t>FY22-FY24 avg: 2.0%</t>
  </si>
  <si>
    <t>Employee benefits / Revenue</t>
  </si>
  <si>
    <t>FY22-FY24 avg: 24.7%; trending down</t>
  </si>
  <si>
    <t>Other expenses / Revenue</t>
  </si>
  <si>
    <t>FY22-FY24 avg: 2.4%</t>
  </si>
  <si>
    <t>D&amp;A / Revenue</t>
  </si>
  <si>
    <t>FY22-FY24 avg: 1.2%</t>
  </si>
  <si>
    <t>Finance costs / Revenue</t>
  </si>
  <si>
    <t>FY22-FY24 avg: 2.3%; trending up</t>
  </si>
  <si>
    <t>Statutory corporate rate</t>
  </si>
  <si>
    <t>Working Capital Days</t>
  </si>
  <si>
    <t>DSO (days)</t>
  </si>
  <si>
    <t>FY22-FY24 avg: 58.0</t>
  </si>
  <si>
    <t>DIO (days)</t>
  </si>
  <si>
    <t>FY22-FY24 avg: 109.6</t>
  </si>
  <si>
    <t>DPO (days)</t>
  </si>
  <si>
    <t>FY22-FY24 avg: 140.3</t>
  </si>
  <si>
    <t>Capital &amp; Cash Flow</t>
  </si>
  <si>
    <t>Cash / Revenue</t>
  </si>
  <si>
    <t>FY22-FY24 avg: 29.3%</t>
  </si>
  <si>
    <t>Total debt growth (% YoY)</t>
  </si>
  <si>
    <t>Manual input - held steady</t>
  </si>
  <si>
    <t>NC assets growth (% YoY)</t>
  </si>
  <si>
    <t>FY22-FY24 avg: 0.9%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</si>
</sst>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.00_);\(#,##0.00\);&quot;--&quot;"/>
    <numFmt numFmtId="165" formatCode="#,##0.0;[Red]\(#,##0.0\);\–"/>
    <numFmt numFmtId="166" formatCode="0.00\x"/>
    <numFmt numFmtId="167" formatCode="0.0"/>
    <numFmt numFmtId="168" formatCode="0.0%;[Red]\(0.0%\);\–"/>
    <numFmt numFmtId="169" formatCode="#,##0.00;[Red]\(#,##0.00\);\–"/>
    <numFmt numFmtId="170" formatCode="0.00&quot;x&quot;"/>
    <numFmt numFmtId="171" formatCode="&quot;vs PY: &quot;\+0.0%;[Red]&quot;vs PY: &quot;\-0.0%;&quot;— first year —&quot;"/>
    <numFmt numFmtId="172" formatCode="&quot;vs PY: &quot;\+#,##0.0;[Red]&quot;vs PY: &quot;\-#,##0.0;&quot;— first year —&quot;"/>
    <numFmt numFmtId="173" formatCode="&quot;vs PY: &quot;\+0.0%&quot; pts&quot;;[Red]&quot;vs PY: &quot;\-0.0%&quot; pts&quot;;&quot;— first year —&quot;"/>
    <numFmt numFmtId="174" formatCode="&quot;vs PY: &quot;\+0.00&quot;x&quot;;[Red]&quot;vs PY: &quot;\-0.00&quot;x&quot;;&quot;— first year —&quot;"/>
    <numFmt numFmtId="175" formatCode="[Red]&quot;vs PY: &quot;\+0.00&quot;x&quot;;&quot;vs PY: &quot;\-0.00&quot;x&quot;;&quot;— first year —&quot;"/>
  </numFmts>
  <fonts count="25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  <font>
      <i/>
      <sz val="10"/>
      <color theme="1"/>
      <name val="Aptos"/>
      <family val="2"/>
    </font>
    <font>
      <b/>
      <sz val="12"/>
      <color rgb="FFFFFFFF"/>
      <name val="Aptos"/>
      <family val="2"/>
    </font>
    <font>
      <b/>
      <sz val="16"/>
      <color theme="0"/>
      <name val="Aptos"/>
      <family val="2"/>
    </font>
    <font>
      <b/>
      <sz val="16"/>
      <color theme="1"/>
      <name val="Aptos"/>
      <family val="2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  <font>
      <sz val="12"/>
      <color rgb="FF70AD47"/>
      <name val="Aptos"/>
      <family val="2"/>
    </font>
    <font>
      <b/>
      <sz val="16"/>
      <color rgb="FFFFFFFF"/>
      <name val="Aptos"/>
      <family val="2"/>
    </font>
    <font>
      <i/>
      <sz val="12"/>
      <color rgb="FF666666"/>
      <name val="Aptos"/>
      <family val="2"/>
    </font>
    <font>
      <i/>
      <sz val="9"/>
      <color rgb="FF666666"/>
      <name val="Aptos"/>
      <family val="2"/>
    </font>
    <font>
      <b/>
      <sz val="12"/>
      <color rgb="FF70AD47"/>
      <name val="Aptos"/>
      <family val="2"/>
    </font>
    <font>
      <b/>
      <sz val="12"/>
      <color rgb="FF0070C0"/>
      <name val="Aptos"/>
      <family val="2"/>
    </font>
    <font>
      <b/>
      <i/>
      <sz val="9"/>
      <color rgb="FFFFFFFF"/>
      <name val="Aptos"/>
      <family val="2"/>
    </font>
    <font>
      <b/>
      <i/>
      <sz val="12"/>
      <color rgb="FF666666"/>
      <name val="Aptos"/>
      <family val="2"/>
    </font>
    <font>
      <b/>
      <i/>
      <sz val="12"/>
      <color rgb="FFFFFFFF"/>
      <name val="Aptos"/>
      <family val="2"/>
    </font>
    <font>
      <b/>
      <sz val="18"/>
      <color rgb="FFFFFFFF"/>
      <name val="Aptos"/>
      <family val="2"/>
    </font>
    <font>
      <b/>
      <i/>
      <sz val="10"/>
      <color rgb="FFFFFFFF"/>
      <name val="Aptos"/>
      <family val="2"/>
    </font>
    <font>
      <sz val="8"/>
      <color rgb="FFBFBFBF"/>
      <name val="Aptos"/>
      <family val="2"/>
    </font>
    <font>
      <b/>
      <sz val="9"/>
      <color rgb="FFFFFFFF"/>
      <name val="Aptos"/>
      <family val="2"/>
    </font>
    <font>
      <sz val="14"/>
      <color theme="1"/>
      <name val="Aptos"/>
      <family val="2"/>
    </font>
    <font>
      <b/>
      <sz val="18"/>
      <color theme="1"/>
      <name val="Aptos"/>
      <family val="2"/>
    </font>
    <font>
      <sz val="12"/>
      <color rgb="FF0000FF"/>
      <name val="Aptos"/>
      <family val="2"/>
    </font>
  </fonts>
  <fills count="20">
    <fill>
      <patternFill patternType="none"/>
    </fill>
    <fill>
      <patternFill patternType="gray125"/>
    </fill>
    <fill>
      <patternFill patternType="solid">
        <fgColor rgb="FF2C3E2A"/>
        <bgColor indexed="64"/>
      </patternFill>
    </fill>
    <fill>
      <patternFill patternType="solid">
        <fgColor rgb="FF3D5A3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38572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rgb="FF7F7F7F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 style="hair">
        <color rgb="FF7F7F7F"/>
      </bottom>
      <diagonal/>
    </border>
    <border>
      <left/>
      <right/>
      <top/>
      <bottom style="hair">
        <color rgb="FF7F7F7F"/>
      </bottom>
      <diagonal/>
    </border>
    <border>
      <left/>
      <right style="thin">
        <color rgb="FF002060"/>
      </right>
      <top/>
      <bottom style="hair">
        <color rgb="FF7F7F7F"/>
      </bottom>
      <diagonal/>
    </border>
    <border>
      <left style="thin">
        <color rgb="FF002060"/>
      </left>
      <right/>
      <top style="hair">
        <color rgb="FF7F7F7F"/>
      </top>
      <bottom style="hair">
        <color rgb="FF7F7F7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/>
      <right style="thin">
        <color rgb="FF002060"/>
      </right>
      <top style="hair">
        <color rgb="FF7F7F7F"/>
      </top>
      <bottom style="hair">
        <color rgb="FF7F7F7F"/>
      </bottom>
      <diagonal/>
    </border>
    <border>
      <left style="thin">
        <color rgb="FF002060"/>
      </left>
      <right/>
      <top style="hair">
        <color rgb="FF7F7F7F"/>
      </top>
      <bottom style="thin">
        <color rgb="FF002060"/>
      </bottom>
      <diagonal/>
    </border>
    <border>
      <left/>
      <right/>
      <top style="hair">
        <color rgb="FF7F7F7F"/>
      </top>
      <bottom style="thin">
        <color rgb="FF002060"/>
      </bottom>
      <diagonal/>
    </border>
    <border>
      <left/>
      <right style="thin">
        <color rgb="FF002060"/>
      </right>
      <top style="hair">
        <color rgb="FF7F7F7F"/>
      </top>
      <bottom style="thin">
        <color rgb="FF002060"/>
      </bottom>
      <diagonal/>
    </border>
    <border>
      <left/>
      <right/>
      <top style="medium">
        <color rgb="FFC00000"/>
      </top>
      <bottom/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/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/>
      <right/>
      <top style="medium">
        <color rgb="FF70AD47"/>
      </top>
      <bottom/>
      <diagonal/>
    </border>
    <border>
      <left/>
      <right/>
      <top/>
      <bottom style="medium">
        <color rgb="FF70AD47"/>
      </bottom>
      <diagonal/>
    </border>
    <border>
      <left style="medium">
        <color rgb="FF70AD47"/>
      </left>
      <right/>
      <top style="medium">
        <color rgb="FF70AD47"/>
      </top>
      <bottom/>
      <diagonal/>
    </border>
    <border>
      <left style="medium">
        <color rgb="FF70AD47"/>
      </left>
      <right/>
      <top/>
      <bottom style="medium">
        <color rgb="FF70AD47"/>
      </bottom>
      <diagonal/>
    </border>
    <border>
      <left/>
      <right style="medium">
        <color rgb="FF70AD47"/>
      </right>
      <top style="medium">
        <color rgb="FF70AD47"/>
      </top>
      <bottom/>
      <diagonal/>
    </border>
    <border>
      <left/>
      <right style="medium">
        <color rgb="FF70AD47"/>
      </right>
      <top/>
      <bottom style="medium">
        <color rgb="FF70AD47"/>
      </bottom>
      <diagonal/>
    </border>
    <border>
      <left/>
      <right/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/>
      <top style="medium">
        <color rgb="FFFFC000"/>
      </top>
      <bottom/>
      <diagonal/>
    </border>
    <border>
      <left/>
      <right/>
      <top/>
      <bottom style="medium">
        <color rgb="FFFFC000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rgb="FFC00000"/>
      </left>
      <right/>
      <top/>
      <bottom/>
      <diagonal/>
    </border>
  </borders>
  <cellStyleXfs count="1">
    <xf numFmtId="0" fontId="0" fillId="0" borderId="0"/>
  </cellStyleXfs>
  <cellXfs count="176">
    <xf numFmtId="0" fontId="0" fillId="0" borderId="0" xfId="0"/>
    <xf numFmtId="164" fontId="4" fillId="2" borderId="0" xfId="0" applyNumberFormat="1" applyFont="1" applyFill="1"/>
    <xf numFmtId="164" fontId="4" fillId="3" borderId="0" xfId="0" applyNumberFormat="1" applyFont="1" applyFill="1"/>
    <xf numFmtId="0" fontId="4" fillId="2" borderId="1" xfId="0" applyFont="1" applyFill="1" applyBorder="1" applyAlignment="1">
      <alignment horizontal="center"/>
    </xf>
    <xf numFmtId="40" fontId="0" fillId="0" borderId="0" xfId="0" applyNumberFormat="1"/>
    <xf numFmtId="40" fontId="2" fillId="0" borderId="0" xfId="0" applyNumberFormat="1" applyFont="1"/>
    <xf numFmtId="40" fontId="3" fillId="0" borderId="0" xfId="0" applyNumberFormat="1" applyFont="1"/>
    <xf numFmtId="40" fontId="4" fillId="6" borderId="1" xfId="0" applyNumberFormat="1" applyFont="1" applyFill="1" applyBorder="1" applyAlignment="1">
      <alignment horizontal="left" indent="1"/>
    </xf>
    <xf numFmtId="40" fontId="4" fillId="6" borderId="1" xfId="0" applyNumberFormat="1" applyFont="1" applyFill="1" applyBorder="1" applyAlignment="1">
      <alignment horizontal="center"/>
    </xf>
    <xf numFmtId="40" fontId="4" fillId="6" borderId="0" xfId="0" applyNumberFormat="1" applyFont="1" applyFill="1" applyAlignment="1">
      <alignment horizontal="left" indent="1"/>
    </xf>
    <xf numFmtId="40" fontId="4" fillId="6" borderId="0" xfId="0" applyNumberFormat="1" applyFont="1" applyFill="1"/>
    <xf numFmtId="40" fontId="4" fillId="5" borderId="0" xfId="0" applyNumberFormat="1" applyFont="1" applyFill="1" applyAlignment="1">
      <alignment horizontal="left" indent="1"/>
    </xf>
    <xf numFmtId="40" fontId="4" fillId="5" borderId="0" xfId="0" applyNumberFormat="1" applyFont="1" applyFill="1"/>
    <xf numFmtId="40" fontId="0" fillId="0" borderId="0" xfId="0" applyNumberFormat="1" applyAlignment="1">
      <alignment horizontal="left" indent="2"/>
    </xf>
    <xf numFmtId="40" fontId="2" fillId="0" borderId="0" xfId="0" applyNumberFormat="1" applyFont="1" applyAlignment="1">
      <alignment horizontal="left" indent="2"/>
    </xf>
    <xf numFmtId="40" fontId="0" fillId="0" borderId="0" xfId="0" applyNumberFormat="1" applyAlignment="1">
      <alignment horizontal="left" indent="3"/>
    </xf>
    <xf numFmtId="40" fontId="2" fillId="0" borderId="2" xfId="0" applyNumberFormat="1" applyFont="1" applyBorder="1" applyAlignment="1">
      <alignment horizontal="left" indent="3"/>
    </xf>
    <xf numFmtId="40" fontId="0" fillId="0" borderId="2" xfId="0" applyNumberFormat="1" applyBorder="1"/>
    <xf numFmtId="40" fontId="1" fillId="4" borderId="2" xfId="0" applyNumberFormat="1" applyFont="1" applyFill="1" applyBorder="1" applyAlignment="1">
      <alignment horizontal="left" indent="1"/>
    </xf>
    <xf numFmtId="40" fontId="1" fillId="4" borderId="2" xfId="0" applyNumberFormat="1" applyFont="1" applyFill="1" applyBorder="1"/>
    <xf numFmtId="40" fontId="1" fillId="4" borderId="4" xfId="0" applyNumberFormat="1" applyFont="1" applyFill="1" applyBorder="1" applyAlignment="1">
      <alignment horizontal="left" indent="1"/>
    </xf>
    <xf numFmtId="40" fontId="1" fillId="4" borderId="4" xfId="0" applyNumberFormat="1" applyFont="1" applyFill="1" applyBorder="1"/>
    <xf numFmtId="40" fontId="1" fillId="4" borderId="3" xfId="0" applyNumberFormat="1" applyFont="1" applyFill="1" applyBorder="1" applyAlignment="1">
      <alignment horizontal="left" indent="1"/>
    </xf>
    <xf numFmtId="40" fontId="1" fillId="4" borderId="3" xfId="0" applyNumberFormat="1" applyFont="1" applyFill="1" applyBorder="1"/>
    <xf numFmtId="168" fontId="0" fillId="0" borderId="0" xfId="0" applyNumberFormat="1"/>
    <xf numFmtId="166" fontId="0" fillId="0" borderId="0" xfId="0" applyNumberFormat="1"/>
    <xf numFmtId="0" fontId="12" fillId="0" borderId="0" xfId="0" applyFont="1"/>
    <xf numFmtId="0" fontId="0" fillId="0" borderId="0" xfId="0" applyAlignment="1">
      <alignment vertical="top" wrapText="1"/>
    </xf>
    <xf numFmtId="0" fontId="8" fillId="8" borderId="7" xfId="0" applyFont="1" applyFill="1" applyBorder="1"/>
    <xf numFmtId="0" fontId="8" fillId="8" borderId="9" xfId="0" applyFont="1" applyFill="1" applyBorder="1"/>
    <xf numFmtId="169" fontId="9" fillId="8" borderId="11" xfId="0" applyNumberFormat="1" applyFont="1" applyFill="1" applyBorder="1" applyAlignment="1">
      <alignment horizontal="right"/>
    </xf>
    <xf numFmtId="169" fontId="9" fillId="8" borderId="12" xfId="0" applyNumberFormat="1" applyFont="1" applyFill="1" applyBorder="1" applyAlignment="1">
      <alignment horizontal="right"/>
    </xf>
    <xf numFmtId="169" fontId="9" fillId="8" borderId="14" xfId="0" applyNumberFormat="1" applyFont="1" applyFill="1" applyBorder="1" applyAlignment="1">
      <alignment horizontal="right"/>
    </xf>
    <xf numFmtId="169" fontId="9" fillId="8" borderId="15" xfId="0" applyNumberFormat="1" applyFont="1" applyFill="1" applyBorder="1" applyAlignment="1">
      <alignment horizontal="right"/>
    </xf>
    <xf numFmtId="169" fontId="0" fillId="8" borderId="14" xfId="0" applyNumberFormat="1" applyFill="1" applyBorder="1" applyAlignment="1">
      <alignment horizontal="right"/>
    </xf>
    <xf numFmtId="169" fontId="0" fillId="8" borderId="15" xfId="0" applyNumberFormat="1" applyFill="1" applyBorder="1" applyAlignment="1">
      <alignment horizontal="right"/>
    </xf>
    <xf numFmtId="169" fontId="0" fillId="8" borderId="17" xfId="0" applyNumberFormat="1" applyFill="1" applyBorder="1" applyAlignment="1">
      <alignment horizontal="right"/>
    </xf>
    <xf numFmtId="169" fontId="0" fillId="8" borderId="18" xfId="0" applyNumberFormat="1" applyFill="1" applyBorder="1" applyAlignment="1">
      <alignment horizontal="right"/>
    </xf>
    <xf numFmtId="0" fontId="4" fillId="9" borderId="0" xfId="0" applyFont="1" applyFill="1"/>
    <xf numFmtId="1" fontId="20" fillId="0" borderId="0" xfId="0" applyNumberFormat="1" applyFont="1"/>
    <xf numFmtId="0" fontId="20" fillId="0" borderId="0" xfId="0" applyFont="1"/>
    <xf numFmtId="0" fontId="0" fillId="0" borderId="21" xfId="0" applyBorder="1"/>
    <xf numFmtId="165" fontId="20" fillId="0" borderId="0" xfId="0" applyNumberFormat="1" applyFont="1"/>
    <xf numFmtId="168" fontId="20" fillId="0" borderId="0" xfId="0" applyNumberFormat="1" applyFont="1"/>
    <xf numFmtId="2" fontId="20" fillId="0" borderId="0" xfId="0" applyNumberFormat="1" applyFont="1"/>
    <xf numFmtId="167" fontId="20" fillId="0" borderId="0" xfId="0" applyNumberFormat="1" applyFont="1"/>
    <xf numFmtId="0" fontId="16" fillId="0" borderId="0" xfId="0" applyFont="1"/>
    <xf numFmtId="0" fontId="19" fillId="9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21" fillId="9" borderId="0" xfId="0" applyFont="1" applyFill="1" applyAlignment="1">
      <alignment horizontal="left"/>
    </xf>
    <xf numFmtId="0" fontId="4" fillId="6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center" vertical="center"/>
    </xf>
    <xf numFmtId="0" fontId="6" fillId="11" borderId="20" xfId="0" applyFont="1" applyFill="1" applyBorder="1" applyAlignment="1">
      <alignment horizontal="center" vertical="center"/>
    </xf>
    <xf numFmtId="0" fontId="22" fillId="0" borderId="0" xfId="0" applyFont="1"/>
    <xf numFmtId="0" fontId="11" fillId="0" borderId="47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0" fontId="7" fillId="6" borderId="31" xfId="0" applyFont="1" applyFill="1" applyBorder="1" applyAlignment="1">
      <alignment horizontal="left" vertical="center"/>
    </xf>
    <xf numFmtId="172" fontId="0" fillId="8" borderId="26" xfId="0" applyNumberFormat="1" applyFill="1" applyBorder="1" applyAlignment="1">
      <alignment horizontal="center" vertical="center"/>
    </xf>
    <xf numFmtId="172" fontId="0" fillId="8" borderId="23" xfId="0" applyNumberFormat="1" applyFill="1" applyBorder="1" applyAlignment="1">
      <alignment horizontal="center" vertical="center"/>
    </xf>
    <xf numFmtId="172" fontId="0" fillId="8" borderId="29" xfId="0" applyNumberFormat="1" applyFill="1" applyBorder="1" applyAlignment="1">
      <alignment horizontal="center" vertical="center"/>
    </xf>
    <xf numFmtId="165" fontId="23" fillId="8" borderId="25" xfId="0" applyNumberFormat="1" applyFont="1" applyFill="1" applyBorder="1" applyAlignment="1">
      <alignment horizontal="center" vertical="center"/>
    </xf>
    <xf numFmtId="165" fontId="23" fillId="8" borderId="0" xfId="0" applyNumberFormat="1" applyFont="1" applyFill="1" applyAlignment="1">
      <alignment horizontal="center" vertical="center"/>
    </xf>
    <xf numFmtId="165" fontId="23" fillId="8" borderId="28" xfId="0" applyNumberFormat="1" applyFont="1" applyFill="1" applyBorder="1" applyAlignment="1">
      <alignment horizontal="center" vertical="center"/>
    </xf>
    <xf numFmtId="0" fontId="18" fillId="6" borderId="24" xfId="0" applyFont="1" applyFill="1" applyBorder="1" applyAlignment="1">
      <alignment horizontal="center" vertical="center"/>
    </xf>
    <xf numFmtId="0" fontId="18" fillId="6" borderId="22" xfId="0" applyFont="1" applyFill="1" applyBorder="1" applyAlignment="1">
      <alignment horizontal="center" vertical="center"/>
    </xf>
    <xf numFmtId="0" fontId="18" fillId="6" borderId="27" xfId="0" applyFont="1" applyFill="1" applyBorder="1" applyAlignment="1">
      <alignment horizontal="center" vertical="center"/>
    </xf>
    <xf numFmtId="0" fontId="10" fillId="6" borderId="24" xfId="0" applyFont="1" applyFill="1" applyBorder="1" applyAlignment="1">
      <alignment horizontal="center" vertical="center"/>
    </xf>
    <xf numFmtId="0" fontId="10" fillId="6" borderId="22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11" fillId="8" borderId="25" xfId="0" applyFont="1" applyFill="1" applyBorder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8" borderId="28" xfId="0" applyFont="1" applyFill="1" applyBorder="1" applyAlignment="1">
      <alignment horizontal="center" vertical="center"/>
    </xf>
    <xf numFmtId="171" fontId="0" fillId="8" borderId="26" xfId="0" applyNumberFormat="1" applyFill="1" applyBorder="1" applyAlignment="1">
      <alignment horizontal="center" vertical="center"/>
    </xf>
    <xf numFmtId="171" fontId="0" fillId="8" borderId="23" xfId="0" applyNumberFormat="1" applyFill="1" applyBorder="1" applyAlignment="1">
      <alignment horizontal="center" vertical="center"/>
    </xf>
    <xf numFmtId="171" fontId="0" fillId="8" borderId="29" xfId="0" applyNumberFormat="1" applyFill="1" applyBorder="1" applyAlignment="1">
      <alignment horizontal="center" vertical="center"/>
    </xf>
    <xf numFmtId="170" fontId="23" fillId="8" borderId="25" xfId="0" applyNumberFormat="1" applyFont="1" applyFill="1" applyBorder="1" applyAlignment="1">
      <alignment horizontal="center" vertical="center"/>
    </xf>
    <xf numFmtId="170" fontId="23" fillId="8" borderId="0" xfId="0" applyNumberFormat="1" applyFont="1" applyFill="1" applyAlignment="1">
      <alignment horizontal="center" vertical="center"/>
    </xf>
    <xf numFmtId="170" fontId="23" fillId="8" borderId="28" xfId="0" applyNumberFormat="1" applyFont="1" applyFill="1" applyBorder="1" applyAlignment="1">
      <alignment horizontal="center" vertical="center"/>
    </xf>
    <xf numFmtId="174" fontId="0" fillId="8" borderId="26" xfId="0" applyNumberFormat="1" applyFill="1" applyBorder="1" applyAlignment="1">
      <alignment horizontal="center" vertical="center"/>
    </xf>
    <xf numFmtId="174" fontId="0" fillId="8" borderId="23" xfId="0" applyNumberFormat="1" applyFill="1" applyBorder="1" applyAlignment="1">
      <alignment horizontal="center" vertical="center"/>
    </xf>
    <xf numFmtId="174" fontId="0" fillId="8" borderId="29" xfId="0" applyNumberFormat="1" applyFill="1" applyBorder="1" applyAlignment="1">
      <alignment horizontal="center" vertical="center"/>
    </xf>
    <xf numFmtId="175" fontId="0" fillId="8" borderId="26" xfId="0" applyNumberFormat="1" applyFill="1" applyBorder="1" applyAlignment="1">
      <alignment horizontal="center" vertical="center"/>
    </xf>
    <xf numFmtId="175" fontId="0" fillId="8" borderId="23" xfId="0" applyNumberFormat="1" applyFill="1" applyBorder="1" applyAlignment="1">
      <alignment horizontal="center" vertical="center"/>
    </xf>
    <xf numFmtId="175" fontId="0" fillId="8" borderId="29" xfId="0" applyNumberFormat="1" applyFill="1" applyBorder="1" applyAlignment="1">
      <alignment horizontal="center" vertical="center"/>
    </xf>
    <xf numFmtId="173" fontId="0" fillId="8" borderId="26" xfId="0" applyNumberFormat="1" applyFill="1" applyBorder="1" applyAlignment="1">
      <alignment horizontal="center" vertical="center"/>
    </xf>
    <xf numFmtId="173" fontId="0" fillId="8" borderId="23" xfId="0" applyNumberFormat="1" applyFill="1" applyBorder="1" applyAlignment="1">
      <alignment horizontal="center" vertical="center"/>
    </xf>
    <xf numFmtId="173" fontId="0" fillId="8" borderId="29" xfId="0" applyNumberFormat="1" applyFill="1" applyBorder="1" applyAlignment="1">
      <alignment horizontal="center" vertical="center"/>
    </xf>
    <xf numFmtId="168" fontId="23" fillId="8" borderId="25" xfId="0" applyNumberFormat="1" applyFont="1" applyFill="1" applyBorder="1" applyAlignment="1">
      <alignment horizontal="center" vertical="center"/>
    </xf>
    <xf numFmtId="168" fontId="23" fillId="8" borderId="0" xfId="0" applyNumberFormat="1" applyFont="1" applyFill="1" applyAlignment="1">
      <alignment horizontal="center" vertical="center"/>
    </xf>
    <xf numFmtId="168" fontId="23" fillId="8" borderId="28" xfId="0" applyNumberFormat="1" applyFont="1" applyFill="1" applyBorder="1" applyAlignment="1">
      <alignment horizontal="center" vertical="center"/>
    </xf>
    <xf numFmtId="0" fontId="0" fillId="8" borderId="26" xfId="0" applyFill="1" applyBorder="1" applyAlignment="1">
      <alignment horizontal="left" vertical="top" wrapText="1" indent="1"/>
    </xf>
    <xf numFmtId="0" fontId="0" fillId="8" borderId="23" xfId="0" applyFill="1" applyBorder="1" applyAlignment="1">
      <alignment horizontal="left" vertical="top" wrapText="1" indent="1"/>
    </xf>
    <xf numFmtId="0" fontId="0" fillId="8" borderId="29" xfId="0" applyFill="1" applyBorder="1" applyAlignment="1">
      <alignment horizontal="left" vertical="top" wrapText="1" indent="1"/>
    </xf>
    <xf numFmtId="0" fontId="11" fillId="0" borderId="0" xfId="0" applyFont="1" applyAlignment="1">
      <alignment vertical="top" wrapText="1"/>
    </xf>
    <xf numFmtId="0" fontId="10" fillId="9" borderId="0" xfId="0" applyFont="1" applyFill="1" applyAlignment="1">
      <alignment horizontal="left" vertical="center"/>
    </xf>
    <xf numFmtId="0" fontId="4" fillId="6" borderId="24" xfId="0" applyFont="1" applyFill="1" applyBorder="1" applyAlignment="1">
      <alignment horizontal="left" vertical="center" indent="1"/>
    </xf>
    <xf numFmtId="0" fontId="4" fillId="6" borderId="22" xfId="0" applyFont="1" applyFill="1" applyBorder="1" applyAlignment="1">
      <alignment horizontal="left" vertical="center" indent="1"/>
    </xf>
    <xf numFmtId="0" fontId="4" fillId="6" borderId="27" xfId="0" applyFont="1" applyFill="1" applyBorder="1" applyAlignment="1">
      <alignment horizontal="left" vertical="center" indent="1"/>
    </xf>
    <xf numFmtId="0" fontId="0" fillId="13" borderId="33" xfId="0" applyFill="1" applyBorder="1" applyAlignment="1">
      <alignment horizontal="left" vertical="top" wrapText="1" indent="1"/>
    </xf>
    <xf numFmtId="0" fontId="0" fillId="13" borderId="31" xfId="0" applyFill="1" applyBorder="1" applyAlignment="1">
      <alignment horizontal="left" vertical="top" wrapText="1" indent="1"/>
    </xf>
    <xf numFmtId="0" fontId="0" fillId="13" borderId="35" xfId="0" applyFill="1" applyBorder="1" applyAlignment="1">
      <alignment horizontal="left" vertical="top" wrapText="1" indent="1"/>
    </xf>
    <xf numFmtId="0" fontId="0" fillId="15" borderId="38" xfId="0" applyFill="1" applyBorder="1" applyAlignment="1">
      <alignment horizontal="left" vertical="top" wrapText="1" indent="1"/>
    </xf>
    <xf numFmtId="0" fontId="0" fillId="15" borderId="36" xfId="0" applyFill="1" applyBorder="1" applyAlignment="1">
      <alignment horizontal="left" vertical="top" wrapText="1" indent="1"/>
    </xf>
    <xf numFmtId="0" fontId="0" fillId="15" borderId="40" xfId="0" applyFill="1" applyBorder="1" applyAlignment="1">
      <alignment horizontal="left" vertical="top" wrapText="1" indent="1"/>
    </xf>
    <xf numFmtId="0" fontId="0" fillId="10" borderId="44" xfId="0" applyFill="1" applyBorder="1" applyAlignment="1">
      <alignment horizontal="left" vertical="top" wrapText="1" indent="1"/>
    </xf>
    <xf numFmtId="0" fontId="0" fillId="10" borderId="42" xfId="0" applyFill="1" applyBorder="1" applyAlignment="1">
      <alignment horizontal="left" vertical="top" wrapText="1" indent="1"/>
    </xf>
    <xf numFmtId="0" fontId="0" fillId="10" borderId="46" xfId="0" applyFill="1" applyBorder="1" applyAlignment="1">
      <alignment horizontal="left" vertical="top" wrapText="1" indent="1"/>
    </xf>
    <xf numFmtId="0" fontId="4" fillId="12" borderId="32" xfId="0" applyFont="1" applyFill="1" applyBorder="1" applyAlignment="1">
      <alignment horizontal="left" vertical="center" indent="1"/>
    </xf>
    <xf numFmtId="0" fontId="4" fillId="12" borderId="30" xfId="0" applyFont="1" applyFill="1" applyBorder="1" applyAlignment="1">
      <alignment horizontal="left" vertical="center" indent="1"/>
    </xf>
    <xf numFmtId="0" fontId="4" fillId="12" borderId="34" xfId="0" applyFont="1" applyFill="1" applyBorder="1" applyAlignment="1">
      <alignment horizontal="left" vertical="center" indent="1"/>
    </xf>
    <xf numFmtId="0" fontId="4" fillId="14" borderId="37" xfId="0" applyFont="1" applyFill="1" applyBorder="1" applyAlignment="1">
      <alignment horizontal="left" vertical="center" indent="1"/>
    </xf>
    <xf numFmtId="0" fontId="4" fillId="14" borderId="19" xfId="0" applyFont="1" applyFill="1" applyBorder="1" applyAlignment="1">
      <alignment horizontal="left" vertical="center" indent="1"/>
    </xf>
    <xf numFmtId="0" fontId="4" fillId="14" borderId="39" xfId="0" applyFont="1" applyFill="1" applyBorder="1" applyAlignment="1">
      <alignment horizontal="left" vertical="center" indent="1"/>
    </xf>
    <xf numFmtId="0" fontId="4" fillId="16" borderId="43" xfId="0" applyFont="1" applyFill="1" applyBorder="1" applyAlignment="1">
      <alignment horizontal="left" vertical="center" indent="1"/>
    </xf>
    <xf numFmtId="0" fontId="4" fillId="16" borderId="41" xfId="0" applyFont="1" applyFill="1" applyBorder="1" applyAlignment="1">
      <alignment horizontal="left" vertical="center" indent="1"/>
    </xf>
    <xf numFmtId="0" fontId="4" fillId="16" borderId="45" xfId="0" applyFont="1" applyFill="1" applyBorder="1" applyAlignment="1">
      <alignment horizontal="left" vertical="center" indent="1"/>
    </xf>
    <xf numFmtId="40" fontId="5" fillId="7" borderId="0" xfId="0" applyNumberFormat="1" applyFont="1" applyFill="1" applyAlignment="1">
      <alignment horizontal="left" vertical="center"/>
    </xf>
    <xf numFmtId="40" fontId="10" fillId="9" borderId="0" xfId="0" applyNumberFormat="1" applyFont="1" applyFill="1" applyAlignment="1">
      <alignment horizontal="left" vertical="center"/>
    </xf>
    <xf numFmtId="40" fontId="11" fillId="0" borderId="0" xfId="0" applyNumberFormat="1" applyFont="1"/>
    <xf numFmtId="40" fontId="11" fillId="0" borderId="0" xfId="0" applyNumberFormat="1" applyFont="1" applyAlignment="1">
      <alignment horizontal="left"/>
    </xf>
    <xf numFmtId="40" fontId="4" fillId="6" borderId="0" xfId="0" applyNumberFormat="1" applyFont="1" applyFill="1" applyAlignment="1">
      <alignment vertical="center"/>
    </xf>
    <xf numFmtId="40" fontId="4" fillId="6" borderId="0" xfId="0" applyNumberFormat="1" applyFont="1" applyFill="1" applyAlignment="1">
      <alignment horizontal="center" vertical="center"/>
    </xf>
    <xf numFmtId="40" fontId="4" fillId="6" borderId="0" xfId="0" applyNumberFormat="1" applyFont="1" applyFill="1" applyAlignment="1">
      <alignment horizontal="right"/>
    </xf>
    <xf numFmtId="40" fontId="9" fillId="0" borderId="0" xfId="0" applyNumberFormat="1" applyFont="1" applyAlignment="1">
      <alignment horizontal="right"/>
    </xf>
    <xf numFmtId="40" fontId="0" fillId="0" borderId="0" xfId="0" applyNumberFormat="1" applyAlignment="1">
      <alignment horizontal="left" indent="1"/>
    </xf>
    <xf numFmtId="40" fontId="0" fillId="0" borderId="0" xfId="0" applyNumberFormat="1" applyAlignment="1">
      <alignment horizontal="right"/>
    </xf>
    <xf numFmtId="40" fontId="0" fillId="4" borderId="0" xfId="0" applyNumberFormat="1" applyFill="1"/>
    <xf numFmtId="40" fontId="1" fillId="4" borderId="0" xfId="0" applyNumberFormat="1" applyFont="1" applyFill="1"/>
    <xf numFmtId="40" fontId="11" fillId="4" borderId="0" xfId="0" applyNumberFormat="1" applyFont="1" applyFill="1"/>
    <xf numFmtId="40" fontId="13" fillId="4" borderId="0" xfId="0" applyNumberFormat="1" applyFont="1" applyFill="1" applyAlignment="1">
      <alignment horizontal="right"/>
    </xf>
    <xf numFmtId="40" fontId="0" fillId="4" borderId="2" xfId="0" applyNumberFormat="1" applyFill="1" applyBorder="1"/>
    <xf numFmtId="40" fontId="11" fillId="4" borderId="2" xfId="0" applyNumberFormat="1" applyFont="1" applyFill="1" applyBorder="1"/>
    <xf numFmtId="40" fontId="1" fillId="4" borderId="2" xfId="0" applyNumberFormat="1" applyFont="1" applyFill="1" applyBorder="1" applyAlignment="1">
      <alignment horizontal="right"/>
    </xf>
    <xf numFmtId="40" fontId="13" fillId="4" borderId="2" xfId="0" applyNumberFormat="1" applyFont="1" applyFill="1" applyBorder="1" applyAlignment="1">
      <alignment horizontal="right"/>
    </xf>
    <xf numFmtId="40" fontId="0" fillId="4" borderId="5" xfId="0" applyNumberFormat="1" applyFill="1" applyBorder="1"/>
    <xf numFmtId="40" fontId="1" fillId="4" borderId="5" xfId="0" applyNumberFormat="1" applyFont="1" applyFill="1" applyBorder="1"/>
    <xf numFmtId="40" fontId="11" fillId="4" borderId="5" xfId="0" applyNumberFormat="1" applyFont="1" applyFill="1" applyBorder="1"/>
    <xf numFmtId="40" fontId="13" fillId="4" borderId="5" xfId="0" applyNumberFormat="1" applyFont="1" applyFill="1" applyBorder="1" applyAlignment="1">
      <alignment horizontal="right"/>
    </xf>
    <xf numFmtId="40" fontId="16" fillId="6" borderId="0" xfId="0" applyNumberFormat="1" applyFont="1" applyFill="1"/>
    <xf numFmtId="40" fontId="0" fillId="4" borderId="6" xfId="0" applyNumberFormat="1" applyFill="1" applyBorder="1"/>
    <xf numFmtId="40" fontId="1" fillId="4" borderId="6" xfId="0" applyNumberFormat="1" applyFont="1" applyFill="1" applyBorder="1"/>
    <xf numFmtId="40" fontId="11" fillId="4" borderId="6" xfId="0" applyNumberFormat="1" applyFont="1" applyFill="1" applyBorder="1"/>
    <xf numFmtId="40" fontId="1" fillId="4" borderId="6" xfId="0" applyNumberFormat="1" applyFont="1" applyFill="1" applyBorder="1" applyAlignment="1">
      <alignment horizontal="right"/>
    </xf>
    <xf numFmtId="40" fontId="9" fillId="0" borderId="0" xfId="0" applyNumberFormat="1" applyFont="1"/>
    <xf numFmtId="40" fontId="13" fillId="4" borderId="2" xfId="0" applyNumberFormat="1" applyFont="1" applyFill="1" applyBorder="1"/>
    <xf numFmtId="40" fontId="14" fillId="0" borderId="0" xfId="0" applyNumberFormat="1" applyFont="1"/>
    <xf numFmtId="40" fontId="0" fillId="0" borderId="0" xfId="0" applyNumberFormat="1" applyAlignment="1">
      <alignment vertical="top" wrapText="1"/>
    </xf>
    <xf numFmtId="40" fontId="4" fillId="6" borderId="0" xfId="0" applyNumberFormat="1" applyFont="1" applyFill="1" applyAlignment="1">
      <alignment vertical="top" wrapText="1"/>
    </xf>
    <xf numFmtId="40" fontId="17" fillId="6" borderId="0" xfId="0" applyNumberFormat="1" applyFont="1" applyFill="1"/>
    <xf numFmtId="40" fontId="14" fillId="0" borderId="0" xfId="0" applyNumberFormat="1" applyFont="1" applyAlignment="1">
      <alignment vertical="top" wrapText="1"/>
    </xf>
    <xf numFmtId="40" fontId="4" fillId="6" borderId="8" xfId="0" applyNumberFormat="1" applyFont="1" applyFill="1" applyBorder="1"/>
    <xf numFmtId="40" fontId="4" fillId="6" borderId="7" xfId="0" applyNumberFormat="1" applyFont="1" applyFill="1" applyBorder="1"/>
    <xf numFmtId="40" fontId="17" fillId="6" borderId="7" xfId="0" applyNumberFormat="1" applyFont="1" applyFill="1" applyBorder="1"/>
    <xf numFmtId="40" fontId="4" fillId="6" borderId="9" xfId="0" applyNumberFormat="1" applyFont="1" applyFill="1" applyBorder="1"/>
    <xf numFmtId="40" fontId="0" fillId="8" borderId="10" xfId="0" applyNumberFormat="1" applyFill="1" applyBorder="1"/>
    <xf numFmtId="40" fontId="1" fillId="8" borderId="11" xfId="0" applyNumberFormat="1" applyFont="1" applyFill="1" applyBorder="1"/>
    <xf numFmtId="40" fontId="11" fillId="8" borderId="11" xfId="0" applyNumberFormat="1" applyFont="1" applyFill="1" applyBorder="1"/>
    <xf numFmtId="40" fontId="9" fillId="8" borderId="11" xfId="0" applyNumberFormat="1" applyFont="1" applyFill="1" applyBorder="1" applyAlignment="1">
      <alignment horizontal="right"/>
    </xf>
    <xf numFmtId="40" fontId="9" fillId="8" borderId="12" xfId="0" applyNumberFormat="1" applyFont="1" applyFill="1" applyBorder="1" applyAlignment="1">
      <alignment horizontal="right"/>
    </xf>
    <xf numFmtId="40" fontId="0" fillId="8" borderId="13" xfId="0" applyNumberFormat="1" applyFill="1" applyBorder="1"/>
    <xf numFmtId="40" fontId="1" fillId="8" borderId="14" xfId="0" applyNumberFormat="1" applyFont="1" applyFill="1" applyBorder="1"/>
    <xf numFmtId="40" fontId="11" fillId="8" borderId="14" xfId="0" applyNumberFormat="1" applyFont="1" applyFill="1" applyBorder="1"/>
    <xf numFmtId="40" fontId="9" fillId="8" borderId="14" xfId="0" applyNumberFormat="1" applyFont="1" applyFill="1" applyBorder="1" applyAlignment="1">
      <alignment horizontal="right"/>
    </xf>
    <xf numFmtId="40" fontId="9" fillId="8" borderId="15" xfId="0" applyNumberFormat="1" applyFont="1" applyFill="1" applyBorder="1" applyAlignment="1">
      <alignment horizontal="right"/>
    </xf>
    <xf numFmtId="40" fontId="0" fillId="8" borderId="14" xfId="0" applyNumberFormat="1" applyFill="1" applyBorder="1" applyAlignment="1">
      <alignment horizontal="right"/>
    </xf>
    <xf numFmtId="40" fontId="0" fillId="8" borderId="15" xfId="0" applyNumberFormat="1" applyFill="1" applyBorder="1" applyAlignment="1">
      <alignment horizontal="right"/>
    </xf>
    <xf numFmtId="40" fontId="0" fillId="8" borderId="16" xfId="0" applyNumberFormat="1" applyFill="1" applyBorder="1"/>
    <xf numFmtId="40" fontId="1" fillId="8" borderId="17" xfId="0" applyNumberFormat="1" applyFont="1" applyFill="1" applyBorder="1"/>
    <xf numFmtId="40" fontId="11" fillId="8" borderId="17" xfId="0" applyNumberFormat="1" applyFont="1" applyFill="1" applyBorder="1"/>
    <xf numFmtId="40" fontId="0" fillId="8" borderId="17" xfId="0" applyNumberFormat="1" applyFill="1" applyBorder="1" applyAlignment="1">
      <alignment horizontal="right"/>
    </xf>
    <xf numFmtId="40" fontId="0" fillId="8" borderId="18" xfId="0" applyNumberFormat="1" applyFill="1" applyBorder="1" applyAlignment="1">
      <alignment horizontal="right"/>
    </xf>
    <xf numFmtId="40" fontId="1" fillId="4" borderId="0" xfId="0" applyNumberFormat="1" applyFont="1" applyFill="1" applyAlignment="1">
      <alignment horizontal="right"/>
    </xf>
    <xf numFmtId="40" fontId="24" fillId="17" borderId="0" xfId="0" applyNumberFormat="1" applyFont="1" applyFill="1" applyAlignment="1">
      <alignment horizontal="right"/>
    </xf>
    <xf numFmtId="40" fontId="4" fillId="18" borderId="0" xfId="0" applyNumberFormat="1" applyFont="1" applyFill="1"/>
    <xf numFmtId="40" fontId="1" fillId="1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249D24A-9CEC-45E3-99EB-3E3958C43A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sz="1400" b="1" u="sng">
                <a:latin typeface="Aptos" panose="020B0004020202020204" pitchFamily="34" charset="0"/>
              </a:rPr>
              <a:t>Revenue &amp; EBITDA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Dashboard!$Z$12:$AC$12</c:f>
              <c:numCache>
                <c:formatCode>#,##0.0;[Red]\(#,##0.0\);\–</c:formatCode>
                <c:ptCount val="4"/>
                <c:pt idx="0">
                  <c:v>17308.689999999999</c:v>
                </c:pt>
                <c:pt idx="1">
                  <c:v>21211.09</c:v>
                </c:pt>
                <c:pt idx="2">
                  <c:v>23364.94</c:v>
                </c:pt>
                <c:pt idx="3">
                  <c:v>23892.78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0-4D69-8192-5AA483DE5FE0}"/>
            </c:ext>
          </c:extLst>
        </c:ser>
        <c:ser>
          <c:idx val="1"/>
          <c:order val="1"/>
          <c:tx>
            <c:v>EBITDA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Dashboard!$Z$13:$AC$13</c:f>
              <c:numCache>
                <c:formatCode>#,##0.0;[Red]\(#,##0.0\);\–</c:formatCode>
                <c:ptCount val="4"/>
                <c:pt idx="0">
                  <c:v>-2748.73</c:v>
                </c:pt>
                <c:pt idx="1">
                  <c:v>1140.54</c:v>
                </c:pt>
                <c:pt idx="2">
                  <c:v>1261.2099999999998</c:v>
                </c:pt>
                <c:pt idx="3">
                  <c:v>1222.8499999999999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40-4D69-8192-5AA483DE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222528"/>
        <c:axId val="662223008"/>
      </c:barChart>
      <c:lineChart>
        <c:grouping val="standard"/>
        <c:varyColors val="0"/>
        <c:ser>
          <c:idx val="2"/>
          <c:order val="2"/>
          <c:tx>
            <c:v>EBITDA margin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val>
            <c:numRef>
              <c:f>Dashboard!$Z$15:$AC$15</c:f>
              <c:numCache>
                <c:formatCode>0.0%;[Red]\(0.0%\);\–</c:formatCode>
                <c:ptCount val="4"/>
                <c:pt idx="0">
                  <c:v>-0.15880635680689875</c:v>
                </c:pt>
                <c:pt idx="1">
                  <c:v>5.3770928320986802E-2</c:v>
                </c:pt>
                <c:pt idx="2">
                  <c:v>5.3978739085142093E-2</c:v>
                </c:pt>
                <c:pt idx="3">
                  <c:v>5.1180733259168665E-2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40-4D69-8192-5AA483DE5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73568"/>
        <c:axId val="662163968"/>
      </c:lineChart>
      <c:catAx>
        <c:axId val="662222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2223008"/>
        <c:crosses val="autoZero"/>
        <c:auto val="1"/>
        <c:lblAlgn val="ctr"/>
        <c:lblOffset val="100"/>
        <c:noMultiLvlLbl val="0"/>
      </c:catAx>
      <c:valAx>
        <c:axId val="66222300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2222528"/>
        <c:crosses val="autoZero"/>
        <c:crossBetween val="between"/>
      </c:valAx>
      <c:valAx>
        <c:axId val="66216396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EBITDA 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2173568"/>
        <c:crosses val="max"/>
        <c:crossBetween val="between"/>
      </c:valAx>
      <c:catAx>
        <c:axId val="662173568"/>
        <c:scaling>
          <c:orientation val="minMax"/>
        </c:scaling>
        <c:delete val="1"/>
        <c:axPos val="b"/>
        <c:majorTickMark val="out"/>
        <c:minorTickMark val="none"/>
        <c:tickLblPos val="nextTo"/>
        <c:crossAx val="6621639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Cash Flow Bridge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Operating CF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Dashboard!$Z$18:$AC$18</c:f>
              <c:numCache>
                <c:formatCode>#,##0.0;[Red]\(#,##0.0\);\–</c:formatCode>
                <c:ptCount val="4"/>
                <c:pt idx="0">
                  <c:v>559.95000000000005</c:v>
                </c:pt>
                <c:pt idx="1">
                  <c:v>660.25</c:v>
                </c:pt>
                <c:pt idx="2">
                  <c:v>-741.52</c:v>
                </c:pt>
                <c:pt idx="3">
                  <c:v>-3712.9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35-4D01-9982-0E75D4265526}"/>
            </c:ext>
          </c:extLst>
        </c:ser>
        <c:ser>
          <c:idx val="1"/>
          <c:order val="1"/>
          <c:tx>
            <c:v>Investing CF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Dashboard!$Z$19:$AC$19</c:f>
              <c:numCache>
                <c:formatCode>#,##0.0;[Red]\(#,##0.0\);\–</c:formatCode>
                <c:ptCount val="4"/>
                <c:pt idx="0">
                  <c:v>-42.5</c:v>
                </c:pt>
                <c:pt idx="1">
                  <c:v>-1125.32</c:v>
                </c:pt>
                <c:pt idx="2">
                  <c:v>1480.46</c:v>
                </c:pt>
                <c:pt idx="3">
                  <c:v>1330.86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35-4D01-9982-0E75D4265526}"/>
            </c:ext>
          </c:extLst>
        </c:ser>
        <c:ser>
          <c:idx val="2"/>
          <c:order val="2"/>
          <c:tx>
            <c:v>Financing CF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Dashboard!$Z$20:$AC$20</c:f>
              <c:numCache>
                <c:formatCode>#,##0.0;[Red]\(#,##0.0\);\–</c:formatCode>
                <c:ptCount val="4"/>
                <c:pt idx="0">
                  <c:v>-394.15</c:v>
                </c:pt>
                <c:pt idx="1">
                  <c:v>-329.49</c:v>
                </c:pt>
                <c:pt idx="2">
                  <c:v>88.96</c:v>
                </c:pt>
                <c:pt idx="3">
                  <c:v>2655.74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35-4D01-9982-0E75D426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185088"/>
        <c:axId val="662192768"/>
      </c:barChart>
      <c:lineChart>
        <c:grouping val="standard"/>
        <c:varyColors val="0"/>
        <c:ser>
          <c:idx val="3"/>
          <c:order val="3"/>
          <c:tx>
            <c:v>Free Cash Flow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Dashboard!$Z$21:$AC$21</c:f>
              <c:numCache>
                <c:formatCode>#,##0.0;[Red]\(#,##0.0\);\–</c:formatCode>
                <c:ptCount val="4"/>
                <c:pt idx="0">
                  <c:v>309.60000000000002</c:v>
                </c:pt>
                <c:pt idx="1">
                  <c:v>490.87</c:v>
                </c:pt>
                <c:pt idx="2">
                  <c:v>-929.92</c:v>
                </c:pt>
                <c:pt idx="3">
                  <c:v>-3945.4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35-4D01-9982-0E75D426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85088"/>
        <c:axId val="662192768"/>
      </c:lineChart>
      <c:catAx>
        <c:axId val="66218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2192768"/>
        <c:crosses val="autoZero"/>
        <c:auto val="1"/>
        <c:lblAlgn val="ctr"/>
        <c:lblOffset val="100"/>
        <c:noMultiLvlLbl val="0"/>
      </c:catAx>
      <c:valAx>
        <c:axId val="662192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66218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>
                <a:latin typeface="Aptos" panose="020B0004020202020204" pitchFamily="34" charset="0"/>
              </a:rPr>
              <a:t>Net Cash / (Debt)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cash</c:v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Dashboard!$Z$22:$AC$22</c:f>
              <c:numCache>
                <c:formatCode>#,##0.0;[Red]\(#,##0.0\);\–</c:formatCode>
                <c:ptCount val="4"/>
                <c:pt idx="0">
                  <c:v>6701.4500000000007</c:v>
                </c:pt>
                <c:pt idx="1">
                  <c:v>7153.69</c:v>
                </c:pt>
                <c:pt idx="2">
                  <c:v>6642.58</c:v>
                </c:pt>
                <c:pt idx="3">
                  <c:v>6157.47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B-4B98-94C3-57B8ABE0D1A1}"/>
            </c:ext>
          </c:extLst>
        </c:ser>
        <c:ser>
          <c:idx val="1"/>
          <c:order val="1"/>
          <c:tx>
            <c:v>Total debt</c:v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Dashboard!$Z$23:$AC$23</c:f>
              <c:numCache>
                <c:formatCode>#,##0.0;[Red]\(#,##0.0\);\–</c:formatCode>
                <c:ptCount val="4"/>
                <c:pt idx="0">
                  <c:v>4950.8899999999994</c:v>
                </c:pt>
                <c:pt idx="1">
                  <c:v>4829.93</c:v>
                </c:pt>
                <c:pt idx="2">
                  <c:v>5453.51</c:v>
                </c:pt>
                <c:pt idx="3">
                  <c:v>8856.4599999999991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5B-4B98-94C3-57B8ABE0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747936"/>
        <c:axId val="1389746496"/>
      </c:barChart>
      <c:lineChart>
        <c:grouping val="standard"/>
        <c:varyColors val="0"/>
        <c:ser>
          <c:idx val="2"/>
          <c:order val="2"/>
          <c:tx>
            <c:v>Net cash/(debt)</c:v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prstDash val="solid"/>
              </a:ln>
              <a:effectLst/>
            </c:spPr>
          </c:marker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Dashboard!$Z$24:$AC$24</c:f>
              <c:numCache>
                <c:formatCode>#,##0.0;[Red]\(#,##0.0\);\–</c:formatCode>
                <c:ptCount val="4"/>
                <c:pt idx="0">
                  <c:v>1750.5600000000013</c:v>
                </c:pt>
                <c:pt idx="1">
                  <c:v>2323.7599999999993</c:v>
                </c:pt>
                <c:pt idx="2">
                  <c:v>1189.0699999999997</c:v>
                </c:pt>
                <c:pt idx="3">
                  <c:v>-2698.9899999999989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5B-4B98-94C3-57B8ABE0D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47936"/>
        <c:axId val="1389746496"/>
      </c:lineChart>
      <c:catAx>
        <c:axId val="138974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46496"/>
        <c:crosses val="autoZero"/>
        <c:auto val="1"/>
        <c:lblAlgn val="ctr"/>
        <c:lblOffset val="100"/>
        <c:noMultiLvlLbl val="0"/>
      </c:catAx>
      <c:valAx>
        <c:axId val="1389746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 sz="1200">
                    <a:latin typeface="Aptos" panose="020B0004020202020204" pitchFamily="34" charset="0"/>
                  </a:rPr>
                  <a:t>₹ Crore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4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/>
              <a:t>Working Capital Cycle (Days)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DSO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Dashboard!$Z$31:$AC$31</c:f>
              <c:numCache>
                <c:formatCode>0.0</c:formatCode>
                <c:ptCount val="4"/>
                <c:pt idx="0">
                  <c:v>85.090237909396961</c:v>
                </c:pt>
                <c:pt idx="1">
                  <c:v>52.049835722728055</c:v>
                </c:pt>
                <c:pt idx="2">
                  <c:v>48.870134055555035</c:v>
                </c:pt>
                <c:pt idx="3">
                  <c:v>73.104247391889942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B5-4CD3-A675-722EC0A8500A}"/>
            </c:ext>
          </c:extLst>
        </c:ser>
        <c:ser>
          <c:idx val="1"/>
          <c:order val="1"/>
          <c:tx>
            <c:v>DIO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Dashboard!$Z$32:$AC$32</c:f>
              <c:numCache>
                <c:formatCode>0.0</c:formatCode>
                <c:ptCount val="4"/>
                <c:pt idx="0">
                  <c:v>151.71421118524859</c:v>
                </c:pt>
                <c:pt idx="1">
                  <c:v>112.88795861033073</c:v>
                </c:pt>
                <c:pt idx="2">
                  <c:v>105.53861897355611</c:v>
                </c:pt>
                <c:pt idx="3">
                  <c:v>110.30562579992784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B5-4CD3-A675-722EC0A8500A}"/>
            </c:ext>
          </c:extLst>
        </c:ser>
        <c:ser>
          <c:idx val="2"/>
          <c:order val="2"/>
          <c:tx>
            <c:v>DPO</c:v>
          </c:tx>
          <c:spPr>
            <a:solidFill>
              <a:srgbClr val="A6A6A6"/>
            </a:solidFill>
            <a:ln>
              <a:noFill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Dashboard!$Z$33:$AC$33</c:f>
              <c:numCache>
                <c:formatCode>0.0</c:formatCode>
                <c:ptCount val="4"/>
                <c:pt idx="0">
                  <c:v>140.88316042404134</c:v>
                </c:pt>
                <c:pt idx="1">
                  <c:v>133.35478516191296</c:v>
                </c:pt>
                <c:pt idx="2">
                  <c:v>154.58965227387702</c:v>
                </c:pt>
                <c:pt idx="3">
                  <c:v>132.84881876449705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B5-4CD3-A675-722EC0A85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754176"/>
        <c:axId val="1389761856"/>
      </c:barChart>
      <c:lineChart>
        <c:grouping val="standard"/>
        <c:varyColors val="0"/>
        <c:ser>
          <c:idx val="3"/>
          <c:order val="3"/>
          <c:tx>
            <c:v>Cash Conversion Cycle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Dashboard!$Z$34:$AC$34</c:f>
              <c:numCache>
                <c:formatCode>0.0</c:formatCode>
                <c:ptCount val="4"/>
                <c:pt idx="0">
                  <c:v>95.921288670604213</c:v>
                </c:pt>
                <c:pt idx="1">
                  <c:v>31.583009171145818</c:v>
                </c:pt>
                <c:pt idx="2">
                  <c:v>-0.18089924476586816</c:v>
                </c:pt>
                <c:pt idx="3">
                  <c:v>50.561054427320727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B5-4CD3-A675-722EC0A85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54176"/>
        <c:axId val="1389761856"/>
      </c:lineChart>
      <c:catAx>
        <c:axId val="138975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61856"/>
        <c:crosses val="autoZero"/>
        <c:auto val="1"/>
        <c:lblAlgn val="ctr"/>
        <c:lblOffset val="100"/>
        <c:noMultiLvlLbl val="0"/>
      </c:catAx>
      <c:valAx>
        <c:axId val="1389761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5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/>
              <a:t>Liquidity vs Leverage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Current ratio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Dashboard!$Z$26:$AC$26</c:f>
              <c:numCache>
                <c:formatCode>0.00</c:formatCode>
                <c:ptCount val="4"/>
                <c:pt idx="0">
                  <c:v>1.3923008113587276</c:v>
                </c:pt>
                <c:pt idx="1">
                  <c:v>1.3037192663941808</c:v>
                </c:pt>
                <c:pt idx="2">
                  <c:v>1.2882408964928929</c:v>
                </c:pt>
                <c:pt idx="3">
                  <c:v>1.3636743668287754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58-4CFD-B281-4244E13996BA}"/>
            </c:ext>
          </c:extLst>
        </c:ser>
        <c:ser>
          <c:idx val="1"/>
          <c:order val="1"/>
          <c:tx>
            <c:v>Cash ratio</c:v>
          </c:tx>
          <c:spPr>
            <a:ln w="28575" cap="rnd">
              <a:solidFill>
                <a:srgbClr val="0070C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  <a:prstDash val="solid"/>
              </a:ln>
              <a:effectLst/>
            </c:spPr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Dashboard!$Z$28:$AC$28</c:f>
              <c:numCache>
                <c:formatCode>0.00</c:formatCode>
                <c:ptCount val="4"/>
                <c:pt idx="0">
                  <c:v>0.32919294932851806</c:v>
                </c:pt>
                <c:pt idx="1">
                  <c:v>0.33473584715843552</c:v>
                </c:pt>
                <c:pt idx="2">
                  <c:v>0.28446125806374256</c:v>
                </c:pt>
                <c:pt idx="3">
                  <c:v>0.24306314343459864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58-4CFD-B281-4244E13996BA}"/>
            </c:ext>
          </c:extLst>
        </c:ser>
        <c:ser>
          <c:idx val="2"/>
          <c:order val="2"/>
          <c:tx>
            <c:v>Debt / Equity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Dashboard!$Z$29:$AC$29</c:f>
              <c:numCache>
                <c:formatCode>0.00</c:formatCode>
                <c:ptCount val="4"/>
                <c:pt idx="0">
                  <c:v>0.1906241336824272</c:v>
                </c:pt>
                <c:pt idx="1">
                  <c:v>0.18221612730414313</c:v>
                </c:pt>
                <c:pt idx="2">
                  <c:v>0.20327657304692145</c:v>
                </c:pt>
                <c:pt idx="3">
                  <c:v>0.36239563150992377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58-4CFD-B281-4244E1399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78656"/>
        <c:axId val="1389764736"/>
      </c:lineChart>
      <c:catAx>
        <c:axId val="138977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64736"/>
        <c:crosses val="autoZero"/>
        <c:auto val="1"/>
        <c:lblAlgn val="ctr"/>
        <c:lblOffset val="100"/>
        <c:noMultiLvlLbl val="0"/>
      </c:catAx>
      <c:valAx>
        <c:axId val="1389764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Ratio (x)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78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IN" b="1" u="sng"/>
              <a:t>Returns Profile  |  ROA, ROE, ROCE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ROA</c:v>
          </c:tx>
          <c:spPr>
            <a:ln w="28575" cap="rnd">
              <a:solidFill>
                <a:srgbClr val="70AD47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AD47"/>
              </a:solidFill>
              <a:ln w="9525">
                <a:solidFill>
                  <a:srgbClr val="70AD47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Dashboard!$Z$35:$AC$35</c:f>
              <c:numCache>
                <c:formatCode>0.0%;[Red]\(0.0%\);\–</c:formatCode>
                <c:ptCount val="4"/>
                <c:pt idx="0">
                  <c:v>-4.8872008270786804E-2</c:v>
                </c:pt>
                <c:pt idx="1">
                  <c:v>7.9780079593505682E-3</c:v>
                </c:pt>
                <c:pt idx="2">
                  <c:v>8.2583745590374142E-3</c:v>
                </c:pt>
                <c:pt idx="3">
                  <c:v>4.7682248550352021E-3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79-4E2E-86AF-6D5990F9B99E}"/>
            </c:ext>
          </c:extLst>
        </c:ser>
        <c:ser>
          <c:idx val="1"/>
          <c:order val="1"/>
          <c:tx>
            <c:v>ROE</c:v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squar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Dashboard!$Z$36:$AC$36</c:f>
              <c:numCache>
                <c:formatCode>0.0%;[Red]\(0.0%\);\–</c:formatCode>
                <c:ptCount val="4"/>
                <c:pt idx="0">
                  <c:v>-0.10394655783151086</c:v>
                </c:pt>
                <c:pt idx="1">
                  <c:v>1.6948241759498158E-2</c:v>
                </c:pt>
                <c:pt idx="2">
                  <c:v>1.7901689765167584E-2</c:v>
                </c:pt>
                <c:pt idx="3">
                  <c:v>1.1009880101461613E-2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79-4E2E-86AF-6D5990F9B99E}"/>
            </c:ext>
          </c:extLst>
        </c:ser>
        <c:ser>
          <c:idx val="2"/>
          <c:order val="2"/>
          <c:tx>
            <c:v>ROCE</c:v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  <a:prstDash val="solid"/>
              </a:ln>
              <a:effectLst/>
            </c:spPr>
          </c:marker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Dashboard!$Z$11:$AC$11</c:f>
              <c:strCache>
                <c:ptCount val="4"/>
                <c:pt idx="0">
                  <c:v>FY2021</c:v>
                </c:pt>
                <c:pt idx="1">
                  <c:v>FY2022</c:v>
                </c:pt>
                <c:pt idx="2">
                  <c:v>FY2023</c:v>
                </c:pt>
                <c:pt idx="3">
                  <c:v>FY2024</c:v>
                </c:pt>
              </c:strCache>
            </c:strRef>
          </c:cat>
          <c:val>
            <c:numRef>
              <c:f>Dashboard!$Z$37:$AC$37</c:f>
              <c:numCache>
                <c:formatCode>0.0%;[Red]\(0.0%\);\–</c:formatCode>
                <c:ptCount val="4"/>
                <c:pt idx="0">
                  <c:v>-9.2365335550268046E-2</c:v>
                </c:pt>
                <c:pt idx="1">
                  <c:v>2.3694725055088756E-2</c:v>
                </c:pt>
                <c:pt idx="2">
                  <c:v>2.8236886621368924E-2</c:v>
                </c:pt>
                <c:pt idx="3">
                  <c:v>2.7950504404798029E-2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79-4E2E-86AF-6D5990F9B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52256"/>
        <c:axId val="1389770976"/>
      </c:lineChart>
      <c:catAx>
        <c:axId val="138975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70976"/>
        <c:crosses val="autoZero"/>
        <c:auto val="1"/>
        <c:lblAlgn val="ctr"/>
        <c:lblOffset val="100"/>
        <c:noMultiLvlLbl val="0"/>
      </c:catAx>
      <c:valAx>
        <c:axId val="138977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N"/>
                  <a:t>%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8975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8</xdr:col>
      <xdr:colOff>0</xdr:colOff>
      <xdr:row>38</xdr:row>
      <xdr:rowOff>0</xdr:rowOff>
    </xdr:to>
    <xdr:graphicFrame macro="">
      <xdr:nvGraphicFramePr>
        <xdr:cNvPr id="2" name="tracelight-cbaac54bc3f64c27revenue-&amp;-ebitda-trend">
          <a:extLst>
            <a:ext uri="{FF2B5EF4-FFF2-40B4-BE49-F238E27FC236}">
              <a16:creationId xmlns:a16="http://schemas.microsoft.com/office/drawing/2014/main" id="{B2F6F03F-8F3D-9105-A52C-84D002B441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3" name="tracelight-c26f6e405a294ccecash-flow-bridge">
          <a:extLst>
            <a:ext uri="{FF2B5EF4-FFF2-40B4-BE49-F238E27FC236}">
              <a16:creationId xmlns:a16="http://schemas.microsoft.com/office/drawing/2014/main" id="{23332E10-7838-673A-9786-6F1FB8D5E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20</xdr:col>
      <xdr:colOff>0</xdr:colOff>
      <xdr:row>38</xdr:row>
      <xdr:rowOff>0</xdr:rowOff>
    </xdr:to>
    <xdr:graphicFrame macro="">
      <xdr:nvGraphicFramePr>
        <xdr:cNvPr id="4" name="tracelight-df2939610298449anet-cash-/-(debt)-position">
          <a:extLst>
            <a:ext uri="{FF2B5EF4-FFF2-40B4-BE49-F238E27FC236}">
              <a16:creationId xmlns:a16="http://schemas.microsoft.com/office/drawing/2014/main" id="{AFC97735-6486-2614-DF2B-B8DA14CE5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40</xdr:row>
      <xdr:rowOff>0</xdr:rowOff>
    </xdr:from>
    <xdr:to>
      <xdr:col>8</xdr:col>
      <xdr:colOff>0</xdr:colOff>
      <xdr:row>60</xdr:row>
      <xdr:rowOff>0</xdr:rowOff>
    </xdr:to>
    <xdr:graphicFrame macro="">
      <xdr:nvGraphicFramePr>
        <xdr:cNvPr id="5" name="tracelight-c19323fbeee14eb5working-capital-cycle-(days)">
          <a:extLst>
            <a:ext uri="{FF2B5EF4-FFF2-40B4-BE49-F238E27FC236}">
              <a16:creationId xmlns:a16="http://schemas.microsoft.com/office/drawing/2014/main" id="{C91F4EF2-D459-AAAD-A977-CAB9ECE18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0</xdr:colOff>
      <xdr:row>40</xdr:row>
      <xdr:rowOff>0</xdr:rowOff>
    </xdr:from>
    <xdr:to>
      <xdr:col>15</xdr:col>
      <xdr:colOff>0</xdr:colOff>
      <xdr:row>60</xdr:row>
      <xdr:rowOff>0</xdr:rowOff>
    </xdr:to>
    <xdr:graphicFrame macro="">
      <xdr:nvGraphicFramePr>
        <xdr:cNvPr id="6" name="tracelight-c9cd5dac14464f96liquidity-vs-leverage">
          <a:extLst>
            <a:ext uri="{FF2B5EF4-FFF2-40B4-BE49-F238E27FC236}">
              <a16:creationId xmlns:a16="http://schemas.microsoft.com/office/drawing/2014/main" id="{E4D6702F-67B6-1EBE-DF57-D10CE9430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40</xdr:row>
      <xdr:rowOff>0</xdr:rowOff>
    </xdr:from>
    <xdr:to>
      <xdr:col>20</xdr:col>
      <xdr:colOff>0</xdr:colOff>
      <xdr:row>60</xdr:row>
      <xdr:rowOff>0</xdr:rowOff>
    </xdr:to>
    <xdr:graphicFrame macro="">
      <xdr:nvGraphicFramePr>
        <xdr:cNvPr id="7" name="tracelight-b85f57084a9744a0returns-profile--|--roa,-roe,-roce">
          <a:extLst>
            <a:ext uri="{FF2B5EF4-FFF2-40B4-BE49-F238E27FC236}">
              <a16:creationId xmlns:a16="http://schemas.microsoft.com/office/drawing/2014/main" id="{D76110E6-CCF9-0E7C-0460-ECED9CE2A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65" row="6">
    <wetp:webextensionref xmlns:r="http://schemas.openxmlformats.org/officeDocument/2006/relationships" r:id="rId1"/>
  </wetp:taskpane>
  <wetp:taskpane dockstate="right" visibility="0" width="350" row="4">
    <wetp:webextensionref xmlns:r="http://schemas.openxmlformats.org/officeDocument/2006/relationships" r:id="rId2"/>
  </wetp:taskpane>
  <wetp:taskpane dockstate="right" visibility="0" width="350" row="7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BAAF7C07-3135-4507-96EE-5C503CB0F5AC}">
  <we:reference id="wa200009152" version="1.0.0.4" store="en-US" storeType="OMEX"/>
  <we:alternateReferences>
    <we:reference id="wa200009152" version="1.0.0.4" store="wa20000915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F93ADE7-DAF2-4E86-86B0-FBEE44C30BC8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8736aa2d-1947-410b-9f89-1e6d5ef2d83a\&quot;}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AF2C465D-2718-42F1-ABD2-C4B1ECB6F19D}">
  <we:reference id="wa200009379" version="1.0.0.16" store="en-IN" storeType="OMEX"/>
  <we:alternateReferences>
    <we:reference id="wa200009379" version="1.0.0.16" store="WA200009379" storeType="OMEX"/>
  </we:alternateReferences>
  <we:properties/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2967-F60F-4353-B85C-40B7CC5BECAD}">
  <sheetPr>
    <tabColor rgb="FF002060"/>
  </sheetPr>
  <dimension ref="A1:G60"/>
  <sheetViews>
    <sheetView showGridLines="0" zoomScale="8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1" sqref="E21"/>
    </sheetView>
  </sheetViews>
  <sheetFormatPr defaultRowHeight="15.75" customHeight="1" x14ac:dyDescent="0.25"/>
  <cols>
    <col min="1" max="1" width="2.6640625" style="4" customWidth="1"/>
    <col min="2" max="2" width="57.77734375" style="4" customWidth="1"/>
    <col min="3" max="3" width="2.6640625" style="4" customWidth="1"/>
    <col min="4" max="7" width="19" style="4" customWidth="1"/>
    <col min="8" max="16384" width="8.88671875" style="4"/>
  </cols>
  <sheetData>
    <row r="1" spans="1:7" ht="21" x14ac:dyDescent="0.25">
      <c r="A1" s="117" t="s">
        <v>0</v>
      </c>
      <c r="B1" s="117"/>
      <c r="C1" s="117"/>
      <c r="D1" s="117"/>
      <c r="E1" s="117"/>
      <c r="F1" s="117"/>
      <c r="G1" s="117"/>
    </row>
    <row r="2" spans="1:7" ht="15.75" customHeight="1" x14ac:dyDescent="0.25">
      <c r="A2" s="5" t="s">
        <v>1</v>
      </c>
    </row>
    <row r="3" spans="1:7" ht="15.75" customHeight="1" x14ac:dyDescent="0.25">
      <c r="A3" s="6" t="s">
        <v>2</v>
      </c>
    </row>
    <row r="4" spans="1:7" ht="15.75" customHeight="1" thickBot="1" x14ac:dyDescent="0.3">
      <c r="B4" s="7" t="s">
        <v>3</v>
      </c>
      <c r="C4" s="8"/>
      <c r="D4" s="8" t="s">
        <v>4</v>
      </c>
      <c r="E4" s="8" t="s">
        <v>5</v>
      </c>
      <c r="F4" s="8" t="s">
        <v>6</v>
      </c>
      <c r="G4" s="8" t="s">
        <v>7</v>
      </c>
    </row>
    <row r="5" spans="1:7" ht="15.75" customHeight="1" x14ac:dyDescent="0.25">
      <c r="B5" s="9" t="s">
        <v>8</v>
      </c>
      <c r="C5" s="10"/>
      <c r="D5" s="10"/>
      <c r="E5" s="10"/>
      <c r="F5" s="10"/>
      <c r="G5" s="10"/>
    </row>
    <row r="6" spans="1:7" ht="15.75" customHeight="1" x14ac:dyDescent="0.25">
      <c r="B6" s="11" t="s">
        <v>9</v>
      </c>
      <c r="C6" s="12"/>
      <c r="D6" s="12"/>
      <c r="E6" s="12"/>
      <c r="F6" s="12"/>
      <c r="G6" s="12"/>
    </row>
    <row r="7" spans="1:7" ht="15.75" customHeight="1" x14ac:dyDescent="0.25">
      <c r="B7" s="13" t="s">
        <v>10</v>
      </c>
      <c r="D7" s="4">
        <v>2428.98</v>
      </c>
      <c r="E7" s="4">
        <v>2336.34</v>
      </c>
      <c r="F7" s="4">
        <v>2408.7399999999998</v>
      </c>
      <c r="G7" s="4">
        <v>2510.69</v>
      </c>
    </row>
    <row r="8" spans="1:7" ht="15.75" customHeight="1" x14ac:dyDescent="0.25">
      <c r="B8" s="13" t="s">
        <v>11</v>
      </c>
      <c r="D8" s="4">
        <v>403.21</v>
      </c>
      <c r="E8" s="4">
        <v>422.32</v>
      </c>
      <c r="F8" s="4">
        <v>344.59</v>
      </c>
      <c r="G8" s="4">
        <v>282.32</v>
      </c>
    </row>
    <row r="9" spans="1:7" ht="15.75" customHeight="1" x14ac:dyDescent="0.25">
      <c r="B9" s="13" t="s">
        <v>12</v>
      </c>
      <c r="D9" s="4">
        <v>62.16</v>
      </c>
      <c r="E9" s="4">
        <v>62.12</v>
      </c>
      <c r="F9" s="4">
        <v>67.239999999999995</v>
      </c>
      <c r="G9" s="4">
        <v>63.35</v>
      </c>
    </row>
    <row r="10" spans="1:7" ht="15.75" customHeight="1" x14ac:dyDescent="0.25">
      <c r="B10" s="13" t="s">
        <v>13</v>
      </c>
      <c r="D10" s="4">
        <v>16.350000000000001</v>
      </c>
      <c r="E10" s="4">
        <v>8.66</v>
      </c>
      <c r="F10" s="4">
        <v>9.26</v>
      </c>
      <c r="G10" s="4">
        <v>26.04</v>
      </c>
    </row>
    <row r="11" spans="1:7" ht="15.75" customHeight="1" x14ac:dyDescent="0.25">
      <c r="B11" s="13" t="s">
        <v>14</v>
      </c>
      <c r="D11" s="4">
        <v>181.76</v>
      </c>
      <c r="E11" s="4">
        <v>201.86</v>
      </c>
      <c r="F11" s="4">
        <v>232.29</v>
      </c>
      <c r="G11" s="4">
        <v>254.48</v>
      </c>
    </row>
    <row r="12" spans="1:7" ht="15.75" customHeight="1" x14ac:dyDescent="0.25">
      <c r="B12" s="14" t="s">
        <v>15</v>
      </c>
    </row>
    <row r="13" spans="1:7" ht="15.75" customHeight="1" x14ac:dyDescent="0.25">
      <c r="B13" s="15" t="s">
        <v>16</v>
      </c>
      <c r="D13" s="4">
        <v>3.58</v>
      </c>
      <c r="E13" s="4">
        <v>3.29</v>
      </c>
      <c r="F13" s="4">
        <v>3.13</v>
      </c>
      <c r="G13" s="4">
        <v>1.19</v>
      </c>
    </row>
    <row r="14" spans="1:7" ht="15.75" customHeight="1" x14ac:dyDescent="0.25">
      <c r="B14" s="15" t="s">
        <v>146</v>
      </c>
      <c r="D14" s="4">
        <v>3179.74</v>
      </c>
      <c r="E14" s="4">
        <v>3203.84</v>
      </c>
      <c r="F14" s="4">
        <v>3415.54</v>
      </c>
      <c r="G14" s="4">
        <v>3224.69</v>
      </c>
    </row>
    <row r="15" spans="1:7" ht="15.75" customHeight="1" x14ac:dyDescent="0.25">
      <c r="B15" s="15" t="s">
        <v>17</v>
      </c>
      <c r="D15" s="4">
        <v>97.39</v>
      </c>
      <c r="E15" s="4">
        <v>86.73</v>
      </c>
      <c r="F15" s="4">
        <v>83.96</v>
      </c>
      <c r="G15" s="4">
        <v>206.1</v>
      </c>
    </row>
    <row r="16" spans="1:7" ht="15.75" customHeight="1" x14ac:dyDescent="0.25">
      <c r="B16" s="16" t="s">
        <v>18</v>
      </c>
      <c r="C16" s="17"/>
      <c r="D16" s="17">
        <v>3280.71</v>
      </c>
      <c r="E16" s="17">
        <v>3293.86</v>
      </c>
      <c r="F16" s="17">
        <v>3502.63</v>
      </c>
      <c r="G16" s="17">
        <v>3431.98</v>
      </c>
    </row>
    <row r="17" spans="2:7" ht="15.75" customHeight="1" x14ac:dyDescent="0.25">
      <c r="B17" s="13" t="s">
        <v>19</v>
      </c>
      <c r="D17" s="4">
        <v>3671.24</v>
      </c>
      <c r="E17" s="4">
        <v>3530.08</v>
      </c>
      <c r="F17" s="4">
        <v>3422.62</v>
      </c>
      <c r="G17" s="4">
        <v>4201.26</v>
      </c>
    </row>
    <row r="18" spans="2:7" ht="15.75" customHeight="1" x14ac:dyDescent="0.25">
      <c r="B18" s="13" t="s">
        <v>20</v>
      </c>
      <c r="D18" s="4">
        <v>16852.439999999999</v>
      </c>
      <c r="E18" s="4">
        <v>18526.54</v>
      </c>
      <c r="F18" s="4">
        <v>19300.14</v>
      </c>
      <c r="G18" s="4">
        <v>13689.69</v>
      </c>
    </row>
    <row r="19" spans="2:7" ht="15.75" customHeight="1" x14ac:dyDescent="0.25">
      <c r="B19" s="18" t="s">
        <v>21</v>
      </c>
      <c r="C19" s="19"/>
      <c r="D19" s="19">
        <v>26896.85</v>
      </c>
      <c r="E19" s="19">
        <v>28381.78</v>
      </c>
      <c r="F19" s="19">
        <v>29287.51</v>
      </c>
      <c r="G19" s="19">
        <v>24459.81</v>
      </c>
    </row>
    <row r="20" spans="2:7" ht="15.75" customHeight="1" x14ac:dyDescent="0.25">
      <c r="B20" s="11" t="s">
        <v>22</v>
      </c>
      <c r="C20" s="12"/>
      <c r="D20" s="12"/>
      <c r="E20" s="12"/>
      <c r="F20" s="12"/>
      <c r="G20" s="12"/>
    </row>
    <row r="21" spans="2:7" ht="15.75" customHeight="1" x14ac:dyDescent="0.25">
      <c r="B21" s="13" t="s">
        <v>23</v>
      </c>
      <c r="D21" s="4">
        <v>7194.45</v>
      </c>
      <c r="E21" s="4">
        <v>6560.21</v>
      </c>
      <c r="F21" s="4">
        <v>6755.9</v>
      </c>
      <c r="G21" s="4">
        <v>7220.57</v>
      </c>
    </row>
    <row r="22" spans="2:7" ht="15.75" customHeight="1" x14ac:dyDescent="0.25">
      <c r="B22" s="14" t="s">
        <v>15</v>
      </c>
    </row>
    <row r="23" spans="2:7" ht="15.75" customHeight="1" x14ac:dyDescent="0.25">
      <c r="B23" s="15" t="s">
        <v>24</v>
      </c>
      <c r="D23" s="4">
        <v>4035.07</v>
      </c>
      <c r="E23" s="4">
        <v>3024.75</v>
      </c>
      <c r="F23" s="4">
        <v>3128.35</v>
      </c>
      <c r="G23" s="4">
        <v>4785.38</v>
      </c>
    </row>
    <row r="24" spans="2:7" ht="15.75" customHeight="1" x14ac:dyDescent="0.25">
      <c r="B24" s="15" t="s">
        <v>25</v>
      </c>
      <c r="D24" s="4">
        <v>1527.19</v>
      </c>
      <c r="E24" s="4">
        <v>732.62</v>
      </c>
      <c r="F24" s="4">
        <v>1560.52</v>
      </c>
      <c r="G24" s="4">
        <v>1835.04</v>
      </c>
    </row>
    <row r="25" spans="2:7" ht="15.75" customHeight="1" x14ac:dyDescent="0.25">
      <c r="B25" s="15" t="s">
        <v>26</v>
      </c>
      <c r="D25" s="4">
        <v>5174.26</v>
      </c>
      <c r="E25" s="4">
        <v>6421.07</v>
      </c>
      <c r="F25" s="4">
        <v>5082.0600000000004</v>
      </c>
      <c r="G25" s="4">
        <v>4322.43</v>
      </c>
    </row>
    <row r="26" spans="2:7" ht="15.75" customHeight="1" x14ac:dyDescent="0.25">
      <c r="B26" s="15" t="s">
        <v>27</v>
      </c>
      <c r="D26" s="4">
        <v>232.65</v>
      </c>
      <c r="E26" s="4">
        <v>211.56</v>
      </c>
      <c r="F26" s="4">
        <v>278.23</v>
      </c>
      <c r="G26" s="4">
        <v>239.82</v>
      </c>
    </row>
    <row r="27" spans="2:7" ht="15.75" customHeight="1" x14ac:dyDescent="0.25">
      <c r="B27" s="16" t="s">
        <v>28</v>
      </c>
      <c r="C27" s="17"/>
      <c r="D27" s="17">
        <v>10969.17</v>
      </c>
      <c r="E27" s="17">
        <v>10390</v>
      </c>
      <c r="F27" s="17">
        <v>10049.16</v>
      </c>
      <c r="G27" s="17">
        <v>11182.67</v>
      </c>
    </row>
    <row r="28" spans="2:7" ht="15.75" customHeight="1" x14ac:dyDescent="0.25">
      <c r="B28" s="13" t="s">
        <v>29</v>
      </c>
      <c r="D28" s="4">
        <v>403.6</v>
      </c>
      <c r="E28" s="4">
        <v>119.24</v>
      </c>
      <c r="F28" s="4">
        <v>226.38</v>
      </c>
      <c r="G28" s="4">
        <v>229.07</v>
      </c>
    </row>
    <row r="29" spans="2:7" ht="15.75" customHeight="1" x14ac:dyDescent="0.25">
      <c r="B29" s="13" t="s">
        <v>30</v>
      </c>
      <c r="D29" s="4">
        <v>9776.14</v>
      </c>
      <c r="E29" s="4">
        <v>10792.53</v>
      </c>
      <c r="F29" s="4">
        <v>13050.84</v>
      </c>
      <c r="G29" s="4">
        <v>15913.38</v>
      </c>
    </row>
    <row r="30" spans="2:7" ht="15.75" customHeight="1" thickBot="1" x14ac:dyDescent="0.3">
      <c r="B30" s="18" t="s">
        <v>31</v>
      </c>
      <c r="C30" s="19"/>
      <c r="D30" s="19">
        <v>28343.360000000001</v>
      </c>
      <c r="E30" s="19">
        <v>27861.98</v>
      </c>
      <c r="F30" s="19">
        <v>30082.28</v>
      </c>
      <c r="G30" s="19">
        <v>34545.69</v>
      </c>
    </row>
    <row r="31" spans="2:7" ht="15.75" customHeight="1" thickBot="1" x14ac:dyDescent="0.3">
      <c r="B31" s="20" t="s">
        <v>32</v>
      </c>
      <c r="C31" s="21"/>
      <c r="D31" s="21">
        <v>55240.21</v>
      </c>
      <c r="E31" s="21">
        <v>56243.76</v>
      </c>
      <c r="F31" s="21">
        <v>59369.79</v>
      </c>
      <c r="G31" s="21">
        <v>59005.5</v>
      </c>
    </row>
    <row r="32" spans="2:7" ht="15.75" customHeight="1" thickTop="1" x14ac:dyDescent="0.25">
      <c r="B32" s="9" t="s">
        <v>33</v>
      </c>
      <c r="C32" s="10"/>
      <c r="D32" s="10"/>
      <c r="E32" s="10"/>
      <c r="F32" s="10"/>
      <c r="G32" s="10"/>
    </row>
    <row r="33" spans="2:7" ht="15.75" customHeight="1" x14ac:dyDescent="0.25">
      <c r="B33" s="11" t="s">
        <v>34</v>
      </c>
      <c r="C33" s="12"/>
      <c r="D33" s="12"/>
      <c r="E33" s="12"/>
      <c r="F33" s="12"/>
      <c r="G33" s="12"/>
    </row>
    <row r="34" spans="2:7" ht="15.75" customHeight="1" x14ac:dyDescent="0.25">
      <c r="B34" s="13" t="s">
        <v>35</v>
      </c>
      <c r="D34" s="4">
        <v>696.41</v>
      </c>
      <c r="E34" s="4">
        <v>696.41</v>
      </c>
      <c r="F34" s="4">
        <v>696.41</v>
      </c>
      <c r="G34" s="4">
        <v>696.41</v>
      </c>
    </row>
    <row r="35" spans="2:7" ht="15.75" customHeight="1" x14ac:dyDescent="0.25">
      <c r="B35" s="13" t="s">
        <v>36</v>
      </c>
      <c r="D35" s="4">
        <v>25287.25</v>
      </c>
      <c r="E35" s="4">
        <v>25810.19</v>
      </c>
      <c r="F35" s="4">
        <v>26131.62</v>
      </c>
      <c r="G35" s="4">
        <v>23742.240000000002</v>
      </c>
    </row>
    <row r="36" spans="2:7" ht="15.75" customHeight="1" x14ac:dyDescent="0.25">
      <c r="B36" s="18" t="s">
        <v>37</v>
      </c>
      <c r="C36" s="19"/>
      <c r="D36" s="19">
        <v>25972</v>
      </c>
      <c r="E36" s="19">
        <v>26506.6</v>
      </c>
      <c r="F36" s="19">
        <v>26828.03</v>
      </c>
      <c r="G36" s="19">
        <v>24438.65</v>
      </c>
    </row>
    <row r="37" spans="2:7" ht="15.75" customHeight="1" x14ac:dyDescent="0.25">
      <c r="B37" s="11" t="s">
        <v>38</v>
      </c>
      <c r="C37" s="12"/>
      <c r="D37" s="12"/>
      <c r="E37" s="12"/>
      <c r="F37" s="12"/>
      <c r="G37" s="12"/>
    </row>
    <row r="38" spans="2:7" ht="15.75" customHeight="1" x14ac:dyDescent="0.25">
      <c r="B38" s="14" t="s">
        <v>39</v>
      </c>
    </row>
    <row r="39" spans="2:7" ht="15.75" customHeight="1" x14ac:dyDescent="0.25">
      <c r="B39" s="15" t="s">
        <v>40</v>
      </c>
      <c r="D39" s="4">
        <v>53.41</v>
      </c>
      <c r="E39" s="4">
        <v>35.119999999999997</v>
      </c>
      <c r="F39" s="4">
        <v>33.75</v>
      </c>
      <c r="G39" s="4">
        <v>23.55</v>
      </c>
    </row>
    <row r="40" spans="2:7" ht="15.75" customHeight="1" x14ac:dyDescent="0.25">
      <c r="B40" s="15" t="s">
        <v>41</v>
      </c>
      <c r="D40" s="4">
        <v>157.91999999999999</v>
      </c>
      <c r="E40" s="4">
        <v>127.45</v>
      </c>
      <c r="F40" s="4">
        <v>128.11000000000001</v>
      </c>
    </row>
    <row r="41" spans="2:7" ht="15.75" customHeight="1" x14ac:dyDescent="0.25">
      <c r="B41" s="15" t="s">
        <v>42</v>
      </c>
      <c r="D41" s="4">
        <v>1725.85</v>
      </c>
      <c r="E41" s="4">
        <v>2004.48</v>
      </c>
      <c r="F41" s="4">
        <v>2065.92</v>
      </c>
      <c r="G41" s="4">
        <v>2292.7600000000002</v>
      </c>
    </row>
    <row r="42" spans="2:7" ht="15.75" customHeight="1" x14ac:dyDescent="0.25">
      <c r="B42" s="15" t="s">
        <v>43</v>
      </c>
      <c r="D42" s="4">
        <v>216.72</v>
      </c>
      <c r="E42" s="4">
        <v>215.1</v>
      </c>
      <c r="F42" s="4">
        <v>255.7</v>
      </c>
      <c r="G42" s="4">
        <v>325.88</v>
      </c>
    </row>
    <row r="43" spans="2:7" ht="15.75" customHeight="1" x14ac:dyDescent="0.25">
      <c r="B43" s="16" t="s">
        <v>44</v>
      </c>
      <c r="C43" s="17"/>
      <c r="D43" s="17">
        <v>2153.9</v>
      </c>
      <c r="E43" s="17">
        <v>2382.15</v>
      </c>
      <c r="F43" s="17">
        <v>2483.48</v>
      </c>
      <c r="G43" s="17">
        <v>2642.19</v>
      </c>
    </row>
    <row r="44" spans="2:7" ht="15.75" customHeight="1" x14ac:dyDescent="0.25">
      <c r="B44" s="13" t="s">
        <v>45</v>
      </c>
      <c r="D44" s="4">
        <v>3925.56</v>
      </c>
      <c r="E44" s="4">
        <v>3771.21</v>
      </c>
      <c r="F44" s="4">
        <v>4101.0200000000004</v>
      </c>
      <c r="G44" s="4">
        <v>2489.08</v>
      </c>
    </row>
    <row r="45" spans="2:7" ht="15.75" customHeight="1" x14ac:dyDescent="0.25">
      <c r="B45" s="13" t="s">
        <v>46</v>
      </c>
      <c r="D45" s="4">
        <v>2831.54</v>
      </c>
      <c r="E45" s="4">
        <v>2212.65</v>
      </c>
      <c r="F45" s="4">
        <v>2605.81</v>
      </c>
      <c r="G45" s="4">
        <v>4102.7700000000004</v>
      </c>
    </row>
    <row r="46" spans="2:7" ht="15.75" customHeight="1" x14ac:dyDescent="0.25">
      <c r="B46" s="18" t="s">
        <v>47</v>
      </c>
      <c r="C46" s="19"/>
      <c r="D46" s="19">
        <v>8911</v>
      </c>
      <c r="E46" s="19">
        <v>8366.01</v>
      </c>
      <c r="F46" s="19">
        <v>9190.31</v>
      </c>
      <c r="G46" s="19">
        <v>9234.0400000000009</v>
      </c>
    </row>
    <row r="47" spans="2:7" ht="15.75" customHeight="1" x14ac:dyDescent="0.25">
      <c r="B47" s="11" t="s">
        <v>48</v>
      </c>
      <c r="C47" s="12"/>
      <c r="D47" s="12"/>
      <c r="E47" s="12"/>
      <c r="F47" s="12"/>
      <c r="G47" s="12"/>
    </row>
    <row r="48" spans="2:7" ht="15.75" customHeight="1" x14ac:dyDescent="0.25">
      <c r="B48" s="14" t="s">
        <v>39</v>
      </c>
    </row>
    <row r="49" spans="2:7" ht="15.75" customHeight="1" x14ac:dyDescent="0.25">
      <c r="B49" s="15" t="s">
        <v>49</v>
      </c>
      <c r="D49" s="4">
        <v>4849.28</v>
      </c>
      <c r="E49" s="4">
        <v>4745</v>
      </c>
      <c r="F49" s="4">
        <v>5385</v>
      </c>
      <c r="G49" s="4">
        <v>8808</v>
      </c>
    </row>
    <row r="50" spans="2:7" ht="15.75" customHeight="1" x14ac:dyDescent="0.25">
      <c r="B50" s="15" t="s">
        <v>50</v>
      </c>
      <c r="D50" s="4">
        <v>48.2</v>
      </c>
      <c r="E50" s="4">
        <v>49.81</v>
      </c>
      <c r="F50" s="4">
        <v>34.76</v>
      </c>
      <c r="G50" s="4">
        <v>24.91</v>
      </c>
    </row>
    <row r="51" spans="2:7" ht="15.75" customHeight="1" x14ac:dyDescent="0.25">
      <c r="B51" s="15" t="s">
        <v>51</v>
      </c>
      <c r="D51" s="4">
        <v>751.57</v>
      </c>
      <c r="E51" s="4">
        <v>745.82</v>
      </c>
      <c r="F51" s="4">
        <v>1211.53</v>
      </c>
      <c r="G51" s="4">
        <v>1157.45</v>
      </c>
    </row>
    <row r="52" spans="2:7" ht="15.75" customHeight="1" x14ac:dyDescent="0.25">
      <c r="B52" s="15" t="s">
        <v>52</v>
      </c>
      <c r="D52" s="4">
        <v>5929.26</v>
      </c>
      <c r="E52" s="4">
        <v>7003.77</v>
      </c>
      <c r="F52" s="4">
        <v>8684.2999999999993</v>
      </c>
      <c r="G52" s="4">
        <v>7538.79</v>
      </c>
    </row>
    <row r="53" spans="2:7" ht="15.75" customHeight="1" x14ac:dyDescent="0.25">
      <c r="B53" s="15" t="s">
        <v>53</v>
      </c>
      <c r="D53" s="4">
        <v>929.58</v>
      </c>
      <c r="E53" s="4">
        <v>1124.0899999999999</v>
      </c>
      <c r="F53" s="4">
        <v>1276.93</v>
      </c>
      <c r="G53" s="4">
        <v>1418.44</v>
      </c>
    </row>
    <row r="54" spans="2:7" ht="15.75" customHeight="1" x14ac:dyDescent="0.25">
      <c r="B54" s="16" t="s">
        <v>54</v>
      </c>
      <c r="C54" s="17"/>
      <c r="D54" s="17">
        <v>12507.89</v>
      </c>
      <c r="E54" s="17">
        <v>13668.49</v>
      </c>
      <c r="F54" s="17">
        <v>16592.52</v>
      </c>
      <c r="G54" s="17">
        <v>18947.59</v>
      </c>
    </row>
    <row r="55" spans="2:7" ht="15.75" customHeight="1" x14ac:dyDescent="0.25">
      <c r="B55" s="13" t="s">
        <v>55</v>
      </c>
      <c r="D55" s="4">
        <v>3168.52</v>
      </c>
      <c r="E55" s="4">
        <v>3066.7</v>
      </c>
      <c r="F55" s="4">
        <v>2796.63</v>
      </c>
      <c r="G55" s="4">
        <v>2318.27</v>
      </c>
    </row>
    <row r="56" spans="2:7" ht="15.75" customHeight="1" x14ac:dyDescent="0.25">
      <c r="B56" s="13" t="s">
        <v>56</v>
      </c>
      <c r="D56" s="4">
        <v>4680.8</v>
      </c>
      <c r="E56" s="4">
        <v>4635.96</v>
      </c>
      <c r="F56" s="4">
        <v>3962.29</v>
      </c>
      <c r="G56" s="4">
        <v>4066.94</v>
      </c>
    </row>
    <row r="57" spans="2:7" ht="15.75" customHeight="1" x14ac:dyDescent="0.25">
      <c r="B57" s="18" t="s">
        <v>57</v>
      </c>
      <c r="C57" s="19"/>
      <c r="D57" s="19">
        <v>20357.21</v>
      </c>
      <c r="E57" s="19">
        <v>21371.15</v>
      </c>
      <c r="F57" s="19">
        <v>23351.439999999999</v>
      </c>
      <c r="G57" s="19">
        <v>25332.799999999999</v>
      </c>
    </row>
    <row r="58" spans="2:7" ht="15.75" customHeight="1" thickBot="1" x14ac:dyDescent="0.3">
      <c r="B58" s="18" t="s">
        <v>58</v>
      </c>
      <c r="C58" s="19"/>
      <c r="D58" s="19">
        <v>29268.21</v>
      </c>
      <c r="E58" s="19">
        <v>29737.16</v>
      </c>
      <c r="F58" s="19">
        <v>32541.75</v>
      </c>
      <c r="G58" s="19">
        <v>34566.839999999997</v>
      </c>
    </row>
    <row r="59" spans="2:7" ht="15.75" customHeight="1" thickBot="1" x14ac:dyDescent="0.3">
      <c r="B59" s="20" t="s">
        <v>59</v>
      </c>
      <c r="C59" s="21"/>
      <c r="D59" s="21">
        <v>55240.21</v>
      </c>
      <c r="E59" s="21">
        <v>56243.76</v>
      </c>
      <c r="F59" s="21">
        <v>59369.79</v>
      </c>
      <c r="G59" s="21">
        <v>59005.5</v>
      </c>
    </row>
    <row r="60" spans="2:7" ht="15.75" customHeight="1" thickTop="1" x14ac:dyDescent="0.25"/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B74A-27D1-4B6F-8BAC-528C585C4096}">
  <sheetPr>
    <tabColor rgb="FF002060"/>
  </sheetPr>
  <dimension ref="A1:G36"/>
  <sheetViews>
    <sheetView showGridLines="0" zoomScale="91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E24" sqref="E24"/>
    </sheetView>
  </sheetViews>
  <sheetFormatPr defaultRowHeight="15.75" customHeight="1" x14ac:dyDescent="0.25"/>
  <cols>
    <col min="1" max="1" width="2.33203125" customWidth="1"/>
    <col min="2" max="2" width="50.21875" customWidth="1"/>
    <col min="3" max="3" width="2.33203125" customWidth="1"/>
    <col min="4" max="7" width="19" customWidth="1"/>
  </cols>
  <sheetData>
    <row r="1" spans="1:7" ht="21" x14ac:dyDescent="0.25">
      <c r="A1" s="117" t="s">
        <v>60</v>
      </c>
      <c r="B1" s="117"/>
      <c r="C1" s="117"/>
      <c r="D1" s="117"/>
      <c r="E1" s="117"/>
      <c r="F1" s="117"/>
      <c r="G1" s="117"/>
    </row>
    <row r="2" spans="1:7" ht="15.75" customHeight="1" x14ac:dyDescent="0.25">
      <c r="A2" s="5" t="s">
        <v>61</v>
      </c>
      <c r="B2" s="4"/>
      <c r="C2" s="4"/>
      <c r="D2" s="4"/>
      <c r="E2" s="4"/>
      <c r="F2" s="4"/>
      <c r="G2" s="4"/>
    </row>
    <row r="3" spans="1:7" ht="15.75" customHeight="1" x14ac:dyDescent="0.25">
      <c r="A3" s="6" t="s">
        <v>2</v>
      </c>
      <c r="B3" s="4"/>
      <c r="C3" s="4"/>
      <c r="D3" s="4"/>
      <c r="E3" s="4"/>
      <c r="F3" s="4"/>
      <c r="G3" s="4"/>
    </row>
    <row r="4" spans="1:7" ht="15.75" customHeight="1" thickBot="1" x14ac:dyDescent="0.3">
      <c r="A4" s="4"/>
      <c r="B4" s="7" t="s">
        <v>3</v>
      </c>
      <c r="C4" s="8"/>
      <c r="D4" s="8" t="s">
        <v>62</v>
      </c>
      <c r="E4" s="8" t="s">
        <v>63</v>
      </c>
      <c r="F4" s="8" t="s">
        <v>64</v>
      </c>
      <c r="G4" s="8" t="s">
        <v>65</v>
      </c>
    </row>
    <row r="5" spans="1:7" ht="15.75" customHeight="1" x14ac:dyDescent="0.25">
      <c r="A5" s="4"/>
      <c r="B5" s="11" t="s">
        <v>66</v>
      </c>
      <c r="C5" s="12"/>
      <c r="D5" s="12"/>
      <c r="E5" s="12"/>
      <c r="F5" s="12"/>
      <c r="G5" s="12"/>
    </row>
    <row r="6" spans="1:7" ht="15.75" customHeight="1" x14ac:dyDescent="0.25">
      <c r="A6" s="4"/>
      <c r="B6" s="13" t="s">
        <v>67</v>
      </c>
      <c r="C6" s="4"/>
      <c r="D6" s="4">
        <v>17308.689999999999</v>
      </c>
      <c r="E6" s="4">
        <v>21211.09</v>
      </c>
      <c r="F6" s="4">
        <v>23364.94</v>
      </c>
      <c r="G6" s="4">
        <v>23892.78</v>
      </c>
    </row>
    <row r="7" spans="1:7" ht="15.75" customHeight="1" x14ac:dyDescent="0.25">
      <c r="A7" s="4"/>
      <c r="B7" s="13" t="s">
        <v>68</v>
      </c>
      <c r="C7" s="4"/>
      <c r="D7" s="4">
        <v>348.42</v>
      </c>
      <c r="E7" s="4">
        <v>354.54</v>
      </c>
      <c r="F7" s="4">
        <v>488.63</v>
      </c>
      <c r="G7" s="4">
        <v>546.27</v>
      </c>
    </row>
    <row r="8" spans="1:7" ht="15.75" customHeight="1" x14ac:dyDescent="0.25">
      <c r="A8" s="4"/>
      <c r="B8" s="18" t="s">
        <v>69</v>
      </c>
      <c r="C8" s="19"/>
      <c r="D8" s="19">
        <v>17657.11</v>
      </c>
      <c r="E8" s="19">
        <v>21565.63</v>
      </c>
      <c r="F8" s="19">
        <v>23853.57</v>
      </c>
      <c r="G8" s="19">
        <v>24439.05</v>
      </c>
    </row>
    <row r="9" spans="1:7" ht="15.75" customHeight="1" x14ac:dyDescent="0.25">
      <c r="A9" s="4"/>
      <c r="B9" s="11" t="s">
        <v>70</v>
      </c>
      <c r="C9" s="12"/>
      <c r="D9" s="12"/>
      <c r="E9" s="12"/>
      <c r="F9" s="12"/>
      <c r="G9" s="12"/>
    </row>
    <row r="10" spans="1:7" ht="15.75" customHeight="1" x14ac:dyDescent="0.25">
      <c r="A10" s="4"/>
      <c r="B10" s="13" t="s">
        <v>71</v>
      </c>
      <c r="C10" s="4"/>
      <c r="D10" s="4">
        <v>4346.62</v>
      </c>
      <c r="E10" s="4">
        <v>5055.63</v>
      </c>
      <c r="F10" s="4">
        <v>5875.28</v>
      </c>
      <c r="G10" s="4">
        <v>6116.27</v>
      </c>
    </row>
    <row r="11" spans="1:7" ht="15.75" customHeight="1" x14ac:dyDescent="0.25">
      <c r="A11" s="4"/>
      <c r="B11" s="13" t="s">
        <v>72</v>
      </c>
      <c r="C11" s="4"/>
      <c r="D11" s="4">
        <v>3811.94</v>
      </c>
      <c r="E11" s="4">
        <v>4141.75</v>
      </c>
      <c r="F11" s="4">
        <v>4657.33</v>
      </c>
      <c r="G11" s="4">
        <v>5868.46</v>
      </c>
    </row>
    <row r="12" spans="1:7" ht="15.75" customHeight="1" x14ac:dyDescent="0.25">
      <c r="A12" s="4"/>
      <c r="B12" s="13" t="s">
        <v>73</v>
      </c>
      <c r="C12" s="4"/>
      <c r="D12" s="4">
        <v>2912.47</v>
      </c>
      <c r="E12" s="4">
        <v>4792.6099999999997</v>
      </c>
      <c r="F12" s="4">
        <v>5421.08</v>
      </c>
      <c r="G12" s="4">
        <v>4908.84</v>
      </c>
    </row>
    <row r="13" spans="1:7" ht="15.75" customHeight="1" x14ac:dyDescent="0.25">
      <c r="A13" s="4"/>
      <c r="B13" s="13" t="s">
        <v>74</v>
      </c>
      <c r="C13" s="4"/>
      <c r="D13" s="4">
        <v>288.74</v>
      </c>
      <c r="E13" s="4">
        <v>271.44</v>
      </c>
      <c r="F13" s="4">
        <v>404.18</v>
      </c>
      <c r="G13" s="4">
        <v>350.28</v>
      </c>
    </row>
    <row r="14" spans="1:7" ht="15.75" customHeight="1" x14ac:dyDescent="0.25">
      <c r="A14" s="4"/>
      <c r="B14" s="13" t="s">
        <v>75</v>
      </c>
      <c r="C14" s="4"/>
      <c r="D14" s="4">
        <v>510.86</v>
      </c>
      <c r="E14" s="4">
        <v>532.41</v>
      </c>
      <c r="F14" s="4">
        <v>-57.15</v>
      </c>
      <c r="G14" s="4">
        <v>-436.74</v>
      </c>
    </row>
    <row r="15" spans="1:7" ht="15.75" customHeight="1" x14ac:dyDescent="0.25">
      <c r="A15" s="4"/>
      <c r="B15" s="13" t="s">
        <v>76</v>
      </c>
      <c r="C15" s="4"/>
      <c r="D15" s="4">
        <v>5378.15</v>
      </c>
      <c r="E15" s="4">
        <v>5519.05</v>
      </c>
      <c r="F15" s="4">
        <v>5700.63</v>
      </c>
      <c r="G15" s="4">
        <v>5628.84</v>
      </c>
    </row>
    <row r="16" spans="1:7" ht="15.75" customHeight="1" x14ac:dyDescent="0.25">
      <c r="A16" s="4"/>
      <c r="B16" s="13" t="s">
        <v>77</v>
      </c>
      <c r="C16" s="4"/>
      <c r="D16" s="4">
        <v>3201.2</v>
      </c>
      <c r="E16" s="4">
        <v>162.62</v>
      </c>
      <c r="F16" s="4">
        <v>647.03</v>
      </c>
      <c r="G16" s="4">
        <v>844.23</v>
      </c>
    </row>
    <row r="17" spans="1:7" ht="15.75" customHeight="1" x14ac:dyDescent="0.25">
      <c r="A17" s="4"/>
      <c r="B17" s="13" t="s">
        <v>78</v>
      </c>
      <c r="C17" s="4"/>
      <c r="D17" s="4">
        <v>373.95</v>
      </c>
      <c r="E17" s="4">
        <v>355.96</v>
      </c>
      <c r="F17" s="4">
        <v>521.42999999999995</v>
      </c>
      <c r="G17" s="4">
        <v>731.29</v>
      </c>
    </row>
    <row r="18" spans="1:7" ht="15.75" customHeight="1" x14ac:dyDescent="0.25">
      <c r="A18" s="4"/>
      <c r="B18" s="13" t="s">
        <v>79</v>
      </c>
      <c r="C18" s="4"/>
      <c r="D18" s="4">
        <v>473.25</v>
      </c>
      <c r="E18" s="4">
        <v>314.12</v>
      </c>
      <c r="F18" s="4">
        <v>260.33999999999997</v>
      </c>
      <c r="G18" s="4">
        <v>248.9</v>
      </c>
    </row>
    <row r="19" spans="1:7" ht="15.75" customHeight="1" x14ac:dyDescent="0.25">
      <c r="A19" s="4"/>
      <c r="B19" s="18" t="s">
        <v>80</v>
      </c>
      <c r="C19" s="19"/>
      <c r="D19" s="19">
        <v>21297.18</v>
      </c>
      <c r="E19" s="19">
        <v>21145.59</v>
      </c>
      <c r="F19" s="19">
        <v>23430.15</v>
      </c>
      <c r="G19" s="19">
        <v>24260.37</v>
      </c>
    </row>
    <row r="20" spans="1:7" ht="15.75" customHeight="1" x14ac:dyDescent="0.25">
      <c r="A20" s="4"/>
      <c r="B20" s="18" t="s">
        <v>81</v>
      </c>
      <c r="C20" s="19"/>
      <c r="D20" s="19">
        <v>-3640.07</v>
      </c>
      <c r="E20" s="19">
        <v>420.04</v>
      </c>
      <c r="F20" s="19">
        <v>423.42</v>
      </c>
      <c r="G20" s="19">
        <v>178.68</v>
      </c>
    </row>
    <row r="21" spans="1:7" ht="15.75" customHeight="1" x14ac:dyDescent="0.25">
      <c r="A21" s="4"/>
      <c r="B21" s="13" t="s">
        <v>82</v>
      </c>
      <c r="C21" s="4"/>
      <c r="D21" s="4">
        <v>44.14</v>
      </c>
      <c r="E21" s="4">
        <v>50.42</v>
      </c>
      <c r="F21" s="4">
        <v>56.02</v>
      </c>
      <c r="G21" s="4">
        <v>63.98</v>
      </c>
    </row>
    <row r="22" spans="1:7" ht="15.75" customHeight="1" x14ac:dyDescent="0.25">
      <c r="A22" s="4"/>
      <c r="B22" s="18" t="s">
        <v>83</v>
      </c>
      <c r="C22" s="19"/>
      <c r="D22" s="19">
        <v>-3595.93</v>
      </c>
      <c r="E22" s="19">
        <v>470.46</v>
      </c>
      <c r="F22" s="19">
        <v>479.44</v>
      </c>
      <c r="G22" s="19">
        <v>242.66</v>
      </c>
    </row>
    <row r="23" spans="1:7" ht="15.75" customHeight="1" x14ac:dyDescent="0.25">
      <c r="A23" s="4"/>
      <c r="B23" s="11" t="s">
        <v>84</v>
      </c>
      <c r="C23" s="12"/>
      <c r="D23" s="12"/>
      <c r="E23" s="12"/>
      <c r="F23" s="12"/>
      <c r="G23" s="12"/>
    </row>
    <row r="24" spans="1:7" ht="15.75" customHeight="1" x14ac:dyDescent="0.25">
      <c r="A24" s="4"/>
      <c r="B24" s="13" t="s">
        <v>85</v>
      </c>
      <c r="C24" s="4"/>
      <c r="D24" s="4">
        <v>15.82</v>
      </c>
      <c r="E24" s="4">
        <v>-77.13</v>
      </c>
      <c r="F24" s="4">
        <v>-111.22</v>
      </c>
      <c r="G24" s="4">
        <v>-112.56</v>
      </c>
    </row>
    <row r="25" spans="1:7" ht="15.75" customHeight="1" x14ac:dyDescent="0.25">
      <c r="A25" s="4"/>
      <c r="B25" s="13" t="s">
        <v>86</v>
      </c>
      <c r="C25" s="4"/>
      <c r="D25" s="4">
        <v>-912.05</v>
      </c>
      <c r="E25" s="4">
        <v>102.88</v>
      </c>
      <c r="F25" s="4">
        <v>113.27</v>
      </c>
      <c r="G25" s="4">
        <v>73</v>
      </c>
    </row>
    <row r="26" spans="1:7" ht="15.75" customHeight="1" thickBot="1" x14ac:dyDescent="0.3">
      <c r="A26" s="4"/>
      <c r="B26" s="18" t="s">
        <v>87</v>
      </c>
      <c r="C26" s="19"/>
      <c r="D26" s="19">
        <v>-896.23</v>
      </c>
      <c r="E26" s="19">
        <v>25.75</v>
      </c>
      <c r="F26" s="19">
        <v>2.0499999999999998</v>
      </c>
      <c r="G26" s="19">
        <v>-39.56</v>
      </c>
    </row>
    <row r="27" spans="1:7" ht="15.75" customHeight="1" thickBot="1" x14ac:dyDescent="0.3">
      <c r="A27" s="4"/>
      <c r="B27" s="20" t="s">
        <v>88</v>
      </c>
      <c r="C27" s="21"/>
      <c r="D27" s="21">
        <v>-2699.7</v>
      </c>
      <c r="E27" s="21">
        <v>444.71</v>
      </c>
      <c r="F27" s="21">
        <v>477.39</v>
      </c>
      <c r="G27" s="21">
        <v>282.22000000000003</v>
      </c>
    </row>
    <row r="28" spans="1:7" ht="15.75" customHeight="1" thickTop="1" x14ac:dyDescent="0.25">
      <c r="A28" s="4"/>
      <c r="B28" s="9" t="s">
        <v>89</v>
      </c>
      <c r="C28" s="10"/>
      <c r="D28" s="10"/>
      <c r="E28" s="10"/>
      <c r="F28" s="10"/>
      <c r="G28" s="10"/>
    </row>
    <row r="29" spans="1:7" ht="15.75" customHeight="1" x14ac:dyDescent="0.25">
      <c r="A29" s="4"/>
      <c r="B29" s="14" t="s">
        <v>90</v>
      </c>
      <c r="C29" s="4"/>
      <c r="D29" s="4"/>
      <c r="E29" s="4"/>
      <c r="F29" s="4"/>
      <c r="G29" s="4"/>
    </row>
    <row r="30" spans="1:7" ht="15.75" customHeight="1" x14ac:dyDescent="0.25">
      <c r="A30" s="4"/>
      <c r="B30" s="15" t="s">
        <v>91</v>
      </c>
      <c r="C30" s="4"/>
      <c r="D30" s="4">
        <v>19.98</v>
      </c>
      <c r="E30" s="4">
        <v>76.87</v>
      </c>
      <c r="F30" s="4">
        <v>-17.27</v>
      </c>
      <c r="G30" s="4">
        <v>-82.41</v>
      </c>
    </row>
    <row r="31" spans="1:7" ht="15.75" customHeight="1" x14ac:dyDescent="0.25">
      <c r="A31" s="4"/>
      <c r="B31" s="15" t="s">
        <v>92</v>
      </c>
      <c r="C31" s="4"/>
      <c r="D31" s="4">
        <v>7.0000000000000007E-2</v>
      </c>
      <c r="E31" s="4">
        <v>0.03</v>
      </c>
      <c r="F31" s="4">
        <v>0.59</v>
      </c>
      <c r="G31" s="4">
        <v>-0.14000000000000001</v>
      </c>
    </row>
    <row r="32" spans="1:7" ht="15.75" customHeight="1" thickBot="1" x14ac:dyDescent="0.3">
      <c r="A32" s="4"/>
      <c r="B32" s="18" t="s">
        <v>93</v>
      </c>
      <c r="C32" s="19"/>
      <c r="D32" s="19">
        <v>20.05</v>
      </c>
      <c r="E32" s="19">
        <v>76.900000000000006</v>
      </c>
      <c r="F32" s="19">
        <v>-16.68</v>
      </c>
      <c r="G32" s="19">
        <v>-82.55</v>
      </c>
    </row>
    <row r="33" spans="1:7" ht="15.75" customHeight="1" thickBot="1" x14ac:dyDescent="0.3">
      <c r="A33" s="4"/>
      <c r="B33" s="20" t="s">
        <v>94</v>
      </c>
      <c r="C33" s="21"/>
      <c r="D33" s="21">
        <v>-2679.65</v>
      </c>
      <c r="E33" s="21">
        <v>521.61</v>
      </c>
      <c r="F33" s="21">
        <v>460.71</v>
      </c>
      <c r="G33" s="21">
        <v>199.67</v>
      </c>
    </row>
    <row r="34" spans="1:7" ht="15.75" customHeight="1" thickTop="1" x14ac:dyDescent="0.25">
      <c r="A34" s="4"/>
      <c r="B34" s="11" t="s">
        <v>95</v>
      </c>
      <c r="C34" s="12"/>
      <c r="D34" s="12"/>
      <c r="E34" s="12"/>
      <c r="F34" s="12"/>
      <c r="G34" s="12"/>
    </row>
    <row r="35" spans="1:7" ht="15.75" customHeight="1" x14ac:dyDescent="0.25">
      <c r="A35" s="4"/>
      <c r="B35" s="13" t="s">
        <v>96</v>
      </c>
      <c r="C35" s="4"/>
      <c r="D35" s="4">
        <v>-7.75</v>
      </c>
      <c r="E35" s="4">
        <v>1.28</v>
      </c>
      <c r="F35" s="4">
        <v>1.37</v>
      </c>
      <c r="G35" s="4">
        <v>0.81</v>
      </c>
    </row>
    <row r="36" spans="1:7" ht="15.75" customHeight="1" x14ac:dyDescent="0.25">
      <c r="A36" s="4"/>
      <c r="B36" s="13" t="s">
        <v>97</v>
      </c>
      <c r="C36" s="4"/>
      <c r="D36" s="4">
        <v>-7.75</v>
      </c>
      <c r="E36" s="4">
        <v>1.28</v>
      </c>
      <c r="F36" s="4">
        <v>1.37</v>
      </c>
      <c r="G36" s="4">
        <v>0.81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E28C-A3D5-464A-B841-DD79758B64E4}">
  <sheetPr>
    <tabColor rgb="FF002060"/>
  </sheetPr>
  <dimension ref="A1:G53"/>
  <sheetViews>
    <sheetView showGridLines="0" zoomScale="97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35" sqref="B35"/>
    </sheetView>
  </sheetViews>
  <sheetFormatPr defaultRowHeight="15.75" customHeight="1" x14ac:dyDescent="0.25"/>
  <cols>
    <col min="1" max="1" width="2.6640625" customWidth="1"/>
    <col min="2" max="2" width="57.77734375" customWidth="1"/>
    <col min="3" max="3" width="2.6640625" customWidth="1"/>
    <col min="4" max="7" width="19" customWidth="1"/>
  </cols>
  <sheetData>
    <row r="1" spans="1:7" ht="21" x14ac:dyDescent="0.25">
      <c r="A1" s="117" t="s">
        <v>98</v>
      </c>
      <c r="B1" s="117"/>
      <c r="C1" s="117"/>
      <c r="D1" s="117"/>
      <c r="E1" s="117"/>
      <c r="F1" s="117"/>
      <c r="G1" s="117"/>
    </row>
    <row r="2" spans="1:7" ht="15.75" customHeight="1" x14ac:dyDescent="0.25">
      <c r="A2" s="5" t="s">
        <v>61</v>
      </c>
      <c r="B2" s="4"/>
      <c r="C2" s="4"/>
      <c r="D2" s="4"/>
      <c r="E2" s="4"/>
      <c r="F2" s="4"/>
      <c r="G2" s="4"/>
    </row>
    <row r="3" spans="1:7" ht="15.75" customHeight="1" x14ac:dyDescent="0.25">
      <c r="A3" s="6" t="s">
        <v>2</v>
      </c>
      <c r="B3" s="4"/>
      <c r="C3" s="4"/>
      <c r="D3" s="4"/>
      <c r="E3" s="4"/>
      <c r="F3" s="4"/>
      <c r="G3" s="4"/>
    </row>
    <row r="4" spans="1:7" ht="15.75" customHeight="1" thickBot="1" x14ac:dyDescent="0.3">
      <c r="A4" s="4"/>
      <c r="B4" s="7" t="s">
        <v>3</v>
      </c>
      <c r="C4" s="8"/>
      <c r="D4" s="8" t="s">
        <v>62</v>
      </c>
      <c r="E4" s="8" t="s">
        <v>63</v>
      </c>
      <c r="F4" s="8" t="s">
        <v>64</v>
      </c>
      <c r="G4" s="8" t="s">
        <v>65</v>
      </c>
    </row>
    <row r="5" spans="1:7" ht="15.75" customHeight="1" x14ac:dyDescent="0.25">
      <c r="A5" s="4"/>
      <c r="B5" s="9" t="s">
        <v>99</v>
      </c>
      <c r="C5" s="10"/>
      <c r="D5" s="10"/>
      <c r="E5" s="10"/>
      <c r="F5" s="10"/>
      <c r="G5" s="10"/>
    </row>
    <row r="6" spans="1:7" ht="15.75" customHeight="1" x14ac:dyDescent="0.25">
      <c r="A6" s="4"/>
      <c r="B6" s="13" t="s">
        <v>100</v>
      </c>
      <c r="C6" s="4"/>
      <c r="D6" s="4">
        <v>-3595.93</v>
      </c>
      <c r="E6" s="4">
        <v>470.46</v>
      </c>
      <c r="F6" s="4">
        <v>479.44</v>
      </c>
      <c r="G6" s="4">
        <v>242.66</v>
      </c>
    </row>
    <row r="7" spans="1:7" ht="15.75" customHeight="1" x14ac:dyDescent="0.25">
      <c r="A7" s="4"/>
      <c r="B7" s="11" t="s">
        <v>101</v>
      </c>
      <c r="C7" s="12"/>
      <c r="D7" s="12"/>
      <c r="E7" s="12"/>
      <c r="F7" s="12"/>
      <c r="G7" s="12"/>
    </row>
    <row r="8" spans="1:7" ht="15.75" customHeight="1" x14ac:dyDescent="0.25">
      <c r="A8" s="4"/>
      <c r="B8" s="15" t="s">
        <v>102</v>
      </c>
      <c r="C8" s="4"/>
      <c r="D8" s="4">
        <v>1241.08</v>
      </c>
      <c r="E8" s="4">
        <v>-1120.06</v>
      </c>
      <c r="F8" s="4">
        <v>-86.31</v>
      </c>
      <c r="G8" s="4">
        <v>-1188.18</v>
      </c>
    </row>
    <row r="9" spans="1:7" ht="15.75" customHeight="1" x14ac:dyDescent="0.25">
      <c r="A9" s="4"/>
      <c r="B9" s="15" t="s">
        <v>103</v>
      </c>
      <c r="C9" s="4"/>
      <c r="D9" s="4">
        <v>473.25</v>
      </c>
      <c r="E9" s="4">
        <v>314.12</v>
      </c>
      <c r="F9" s="4">
        <v>260.33999999999997</v>
      </c>
      <c r="G9" s="4">
        <v>248.9</v>
      </c>
    </row>
    <row r="10" spans="1:7" ht="15.75" customHeight="1" x14ac:dyDescent="0.25">
      <c r="A10" s="4"/>
      <c r="B10" s="15" t="s">
        <v>104</v>
      </c>
      <c r="C10" s="4"/>
      <c r="D10" s="4">
        <v>373.95</v>
      </c>
      <c r="E10" s="4">
        <v>355.96</v>
      </c>
      <c r="F10" s="4">
        <v>521.42999999999995</v>
      </c>
      <c r="G10" s="4">
        <v>731.29</v>
      </c>
    </row>
    <row r="11" spans="1:7" ht="15.75" customHeight="1" x14ac:dyDescent="0.25">
      <c r="A11" s="4"/>
      <c r="B11" s="15" t="s">
        <v>105</v>
      </c>
      <c r="C11" s="4"/>
      <c r="D11" s="4">
        <v>-320.86</v>
      </c>
      <c r="E11" s="4">
        <v>-302.79000000000002</v>
      </c>
      <c r="F11" s="4">
        <v>-421.12</v>
      </c>
      <c r="G11" s="4">
        <v>-493.78</v>
      </c>
    </row>
    <row r="12" spans="1:7" ht="15.75" customHeight="1" x14ac:dyDescent="0.25">
      <c r="A12" s="4"/>
      <c r="B12" s="15" t="s">
        <v>106</v>
      </c>
      <c r="C12" s="4"/>
      <c r="D12" s="4">
        <v>-44.14</v>
      </c>
      <c r="E12" s="4">
        <v>-50.42</v>
      </c>
      <c r="F12" s="4">
        <v>-56.02</v>
      </c>
      <c r="G12" s="4">
        <v>-63.98</v>
      </c>
    </row>
    <row r="13" spans="1:7" ht="15.75" customHeight="1" x14ac:dyDescent="0.25">
      <c r="A13" s="4"/>
      <c r="B13" s="15" t="s">
        <v>107</v>
      </c>
      <c r="C13" s="4"/>
      <c r="D13" s="4"/>
      <c r="E13" s="4">
        <v>-17.079999999999998</v>
      </c>
      <c r="F13" s="4">
        <v>0</v>
      </c>
      <c r="G13" s="4"/>
    </row>
    <row r="14" spans="1:7" ht="15.75" customHeight="1" x14ac:dyDescent="0.25">
      <c r="A14" s="4"/>
      <c r="B14" s="15" t="s">
        <v>108</v>
      </c>
      <c r="C14" s="4"/>
      <c r="D14" s="4">
        <v>5.8</v>
      </c>
      <c r="E14" s="4">
        <v>19.260000000000002</v>
      </c>
      <c r="F14" s="4">
        <v>-401.85</v>
      </c>
      <c r="G14" s="4">
        <v>56.03</v>
      </c>
    </row>
    <row r="15" spans="1:7" ht="15.75" customHeight="1" x14ac:dyDescent="0.25">
      <c r="A15" s="4"/>
      <c r="B15" s="15" t="s">
        <v>109</v>
      </c>
      <c r="C15" s="4"/>
      <c r="D15" s="4"/>
      <c r="E15" s="4"/>
      <c r="F15" s="4">
        <v>-8.9</v>
      </c>
      <c r="G15" s="4">
        <v>-15.62</v>
      </c>
    </row>
    <row r="16" spans="1:7" ht="15.75" customHeight="1" x14ac:dyDescent="0.25">
      <c r="A16" s="4"/>
      <c r="B16" s="15" t="s">
        <v>110</v>
      </c>
      <c r="C16" s="4"/>
      <c r="D16" s="4">
        <v>-3.79</v>
      </c>
      <c r="E16" s="4">
        <v>-6.61</v>
      </c>
      <c r="F16" s="4">
        <v>-33.020000000000003</v>
      </c>
      <c r="G16" s="4">
        <v>-7.78</v>
      </c>
    </row>
    <row r="17" spans="1:7" ht="15.75" customHeight="1" x14ac:dyDescent="0.25">
      <c r="A17" s="4"/>
      <c r="B17" s="18" t="s">
        <v>111</v>
      </c>
      <c r="C17" s="19"/>
      <c r="D17" s="19">
        <v>-1870.64</v>
      </c>
      <c r="E17" s="19">
        <v>-337.16</v>
      </c>
      <c r="F17" s="19">
        <v>253.99</v>
      </c>
      <c r="G17" s="19">
        <v>-490.46</v>
      </c>
    </row>
    <row r="18" spans="1:7" ht="15.75" customHeight="1" x14ac:dyDescent="0.25">
      <c r="A18" s="4"/>
      <c r="B18" s="11" t="s">
        <v>112</v>
      </c>
      <c r="C18" s="12"/>
      <c r="D18" s="12"/>
      <c r="E18" s="12"/>
      <c r="F18" s="12"/>
      <c r="G18" s="12"/>
    </row>
    <row r="19" spans="1:7" ht="15.75" customHeight="1" x14ac:dyDescent="0.25">
      <c r="A19" s="4"/>
      <c r="B19" s="15" t="s">
        <v>113</v>
      </c>
      <c r="C19" s="4"/>
      <c r="D19" s="4">
        <v>4014.8</v>
      </c>
      <c r="E19" s="4">
        <v>1881.12</v>
      </c>
      <c r="F19" s="4">
        <v>92.04</v>
      </c>
      <c r="G19" s="4">
        <v>-2469.2399999999998</v>
      </c>
    </row>
    <row r="20" spans="1:7" ht="15.75" customHeight="1" x14ac:dyDescent="0.25">
      <c r="A20" s="4"/>
      <c r="B20" s="15" t="s">
        <v>114</v>
      </c>
      <c r="C20" s="4"/>
      <c r="D20" s="4">
        <v>-1310.6099999999999</v>
      </c>
      <c r="E20" s="4">
        <v>-2594.15</v>
      </c>
      <c r="F20" s="4">
        <v>-2370.65</v>
      </c>
      <c r="G20" s="4">
        <v>-13.7</v>
      </c>
    </row>
    <row r="21" spans="1:7" ht="15.75" customHeight="1" x14ac:dyDescent="0.25">
      <c r="A21" s="4"/>
      <c r="B21" s="15" t="s">
        <v>23</v>
      </c>
      <c r="C21" s="4"/>
      <c r="D21" s="4">
        <v>1536.71</v>
      </c>
      <c r="E21" s="4">
        <v>603.4</v>
      </c>
      <c r="F21" s="4">
        <v>-192.4</v>
      </c>
      <c r="G21" s="4">
        <v>-503.04</v>
      </c>
    </row>
    <row r="22" spans="1:7" ht="15.75" customHeight="1" x14ac:dyDescent="0.25">
      <c r="A22" s="4"/>
      <c r="B22" s="15" t="s">
        <v>115</v>
      </c>
      <c r="C22" s="4"/>
      <c r="D22" s="4">
        <v>-246.86</v>
      </c>
      <c r="E22" s="4">
        <v>143.49</v>
      </c>
      <c r="F22" s="4">
        <v>-262.27999999999997</v>
      </c>
      <c r="G22" s="4">
        <v>-740.8</v>
      </c>
    </row>
    <row r="23" spans="1:7" ht="15.75" customHeight="1" x14ac:dyDescent="0.25">
      <c r="A23" s="4"/>
      <c r="B23" s="18" t="s">
        <v>116</v>
      </c>
      <c r="C23" s="19"/>
      <c r="D23" s="19">
        <v>3994.04</v>
      </c>
      <c r="E23" s="19">
        <v>33.86</v>
      </c>
      <c r="F23" s="19">
        <v>-2733.29</v>
      </c>
      <c r="G23" s="19">
        <v>-3726.78</v>
      </c>
    </row>
    <row r="24" spans="1:7" ht="15.75" customHeight="1" x14ac:dyDescent="0.25">
      <c r="A24" s="4"/>
      <c r="B24" s="15" t="s">
        <v>117</v>
      </c>
      <c r="C24" s="4"/>
      <c r="D24" s="4">
        <v>-1305.4000000000001</v>
      </c>
      <c r="E24" s="4">
        <v>1300.96</v>
      </c>
      <c r="F24" s="4">
        <v>2103.6799999999998</v>
      </c>
      <c r="G24" s="4">
        <v>-962.56</v>
      </c>
    </row>
    <row r="25" spans="1:7" ht="15.75" customHeight="1" x14ac:dyDescent="0.25">
      <c r="A25" s="4"/>
      <c r="B25" s="15" t="s">
        <v>118</v>
      </c>
      <c r="C25" s="4"/>
      <c r="D25" s="4">
        <v>-94.08</v>
      </c>
      <c r="E25" s="4">
        <v>-387.69</v>
      </c>
      <c r="F25" s="4">
        <v>-167.84</v>
      </c>
      <c r="G25" s="4">
        <v>1244.73</v>
      </c>
    </row>
    <row r="26" spans="1:7" ht="15.75" customHeight="1" x14ac:dyDescent="0.25">
      <c r="A26" s="4"/>
      <c r="B26" s="15" t="s">
        <v>119</v>
      </c>
      <c r="C26" s="4"/>
      <c r="D26" s="4">
        <v>26.38</v>
      </c>
      <c r="E26" s="4">
        <v>-358.6</v>
      </c>
      <c r="F26" s="4">
        <v>-308.48</v>
      </c>
      <c r="G26" s="4"/>
    </row>
    <row r="27" spans="1:7" ht="15.75" customHeight="1" x14ac:dyDescent="0.25">
      <c r="A27" s="4"/>
      <c r="B27" s="18" t="s">
        <v>120</v>
      </c>
      <c r="C27" s="19"/>
      <c r="D27" s="19">
        <v>-1373.1</v>
      </c>
      <c r="E27" s="19">
        <v>554.66999999999996</v>
      </c>
      <c r="F27" s="19">
        <v>1627.36</v>
      </c>
      <c r="G27" s="19">
        <v>282.17</v>
      </c>
    </row>
    <row r="28" spans="1:7" ht="15.75" customHeight="1" x14ac:dyDescent="0.25">
      <c r="A28" s="4"/>
      <c r="B28" s="18" t="s">
        <v>121</v>
      </c>
      <c r="C28" s="19"/>
      <c r="D28" s="19">
        <v>2620.94</v>
      </c>
      <c r="E28" s="19">
        <v>588.53</v>
      </c>
      <c r="F28" s="19">
        <v>-1105.93</v>
      </c>
      <c r="G28" s="19">
        <v>-3444.61</v>
      </c>
    </row>
    <row r="29" spans="1:7" ht="15.75" customHeight="1" x14ac:dyDescent="0.25">
      <c r="A29" s="4"/>
      <c r="B29" s="18" t="s">
        <v>122</v>
      </c>
      <c r="C29" s="19"/>
      <c r="D29" s="19">
        <v>750.3</v>
      </c>
      <c r="E29" s="19">
        <v>251.37</v>
      </c>
      <c r="F29" s="19">
        <v>-851.94</v>
      </c>
      <c r="G29" s="19">
        <v>-3935.07</v>
      </c>
    </row>
    <row r="30" spans="1:7" ht="15.75" customHeight="1" x14ac:dyDescent="0.25">
      <c r="A30" s="4"/>
      <c r="B30" s="15" t="s">
        <v>123</v>
      </c>
      <c r="C30" s="4"/>
      <c r="D30" s="4">
        <v>-216.65</v>
      </c>
      <c r="E30" s="4">
        <v>-258</v>
      </c>
      <c r="F30" s="4">
        <v>-155.54</v>
      </c>
      <c r="G30" s="4">
        <v>-158.47999999999999</v>
      </c>
    </row>
    <row r="31" spans="1:7" ht="15.75" customHeight="1" thickBot="1" x14ac:dyDescent="0.3">
      <c r="A31" s="4"/>
      <c r="B31" s="15" t="s">
        <v>124</v>
      </c>
      <c r="C31" s="4"/>
      <c r="D31" s="4">
        <v>26.3</v>
      </c>
      <c r="E31" s="4">
        <v>666.88</v>
      </c>
      <c r="F31" s="4">
        <v>265.95999999999998</v>
      </c>
      <c r="G31" s="4">
        <v>380.65</v>
      </c>
    </row>
    <row r="32" spans="1:7" ht="15.75" customHeight="1" thickBot="1" x14ac:dyDescent="0.3">
      <c r="A32" s="4"/>
      <c r="B32" s="20" t="s">
        <v>125</v>
      </c>
      <c r="C32" s="21"/>
      <c r="D32" s="21">
        <v>559.95000000000005</v>
      </c>
      <c r="E32" s="21">
        <v>660.25</v>
      </c>
      <c r="F32" s="21">
        <v>-741.52</v>
      </c>
      <c r="G32" s="21">
        <v>-3712.9</v>
      </c>
    </row>
    <row r="33" spans="1:7" ht="15.75" customHeight="1" thickTop="1" x14ac:dyDescent="0.25">
      <c r="A33" s="4"/>
      <c r="B33" s="9" t="s">
        <v>126</v>
      </c>
      <c r="C33" s="10"/>
      <c r="D33" s="10"/>
      <c r="E33" s="10"/>
      <c r="F33" s="10"/>
      <c r="G33" s="10"/>
    </row>
    <row r="34" spans="1:7" ht="15.75" customHeight="1" x14ac:dyDescent="0.25">
      <c r="A34" s="4"/>
      <c r="B34" s="15" t="s">
        <v>127</v>
      </c>
      <c r="C34" s="4"/>
      <c r="D34" s="4">
        <v>-159.97999999999999</v>
      </c>
      <c r="E34" s="4">
        <v>-1251.1199999999999</v>
      </c>
      <c r="F34" s="4">
        <v>1358.78</v>
      </c>
      <c r="G34" s="4">
        <v>1112.69</v>
      </c>
    </row>
    <row r="35" spans="1:7" ht="15.75" customHeight="1" x14ac:dyDescent="0.25">
      <c r="A35" s="4"/>
      <c r="B35" s="15" t="s">
        <v>128</v>
      </c>
      <c r="C35" s="4"/>
      <c r="D35" s="4">
        <v>343.11</v>
      </c>
      <c r="E35" s="4">
        <v>257.93</v>
      </c>
      <c r="F35" s="4">
        <v>250.72</v>
      </c>
      <c r="G35" s="4">
        <v>399.3</v>
      </c>
    </row>
    <row r="36" spans="1:7" ht="15.75" customHeight="1" x14ac:dyDescent="0.25">
      <c r="A36" s="4"/>
      <c r="B36" s="15" t="s">
        <v>129</v>
      </c>
      <c r="C36" s="4"/>
      <c r="D36" s="4">
        <v>1.42</v>
      </c>
      <c r="E36" s="4"/>
      <c r="F36" s="4"/>
      <c r="G36" s="4"/>
    </row>
    <row r="37" spans="1:7" ht="15.75" customHeight="1" x14ac:dyDescent="0.25">
      <c r="A37" s="4"/>
      <c r="B37" s="15" t="s">
        <v>130</v>
      </c>
      <c r="C37" s="4"/>
      <c r="D37" s="4"/>
      <c r="E37" s="4"/>
      <c r="F37" s="4">
        <v>25.42</v>
      </c>
      <c r="G37" s="4">
        <v>0.8</v>
      </c>
    </row>
    <row r="38" spans="1:7" ht="15.75" customHeight="1" x14ac:dyDescent="0.25">
      <c r="A38" s="4"/>
      <c r="B38" s="15" t="s">
        <v>131</v>
      </c>
      <c r="C38" s="4"/>
      <c r="D38" s="4">
        <v>21.42</v>
      </c>
      <c r="E38" s="4">
        <v>30.35</v>
      </c>
      <c r="F38" s="4">
        <v>26.18</v>
      </c>
      <c r="G38" s="4">
        <v>41.65</v>
      </c>
    </row>
    <row r="39" spans="1:7" ht="15.75" customHeight="1" x14ac:dyDescent="0.25">
      <c r="A39" s="4"/>
      <c r="B39" s="15" t="s">
        <v>132</v>
      </c>
      <c r="C39" s="4"/>
      <c r="D39" s="4">
        <v>1.88</v>
      </c>
      <c r="E39" s="4">
        <v>6.9</v>
      </c>
      <c r="F39" s="4">
        <v>7.76</v>
      </c>
      <c r="G39" s="4">
        <v>8.92</v>
      </c>
    </row>
    <row r="40" spans="1:7" ht="15.75" customHeight="1" thickBot="1" x14ac:dyDescent="0.3">
      <c r="A40" s="4"/>
      <c r="B40" s="15" t="s">
        <v>133</v>
      </c>
      <c r="C40" s="4"/>
      <c r="D40" s="4">
        <v>-250.35</v>
      </c>
      <c r="E40" s="4">
        <v>-169.38</v>
      </c>
      <c r="F40" s="4">
        <v>-188.4</v>
      </c>
      <c r="G40" s="4">
        <v>-232.5</v>
      </c>
    </row>
    <row r="41" spans="1:7" ht="15.75" customHeight="1" thickBot="1" x14ac:dyDescent="0.3">
      <c r="A41" s="4"/>
      <c r="B41" s="20" t="s">
        <v>134</v>
      </c>
      <c r="C41" s="21"/>
      <c r="D41" s="21">
        <v>-42.5</v>
      </c>
      <c r="E41" s="21">
        <v>-1125.32</v>
      </c>
      <c r="F41" s="21">
        <v>1480.46</v>
      </c>
      <c r="G41" s="21">
        <v>1330.86</v>
      </c>
    </row>
    <row r="42" spans="1:7" ht="15.75" customHeight="1" thickTop="1" x14ac:dyDescent="0.25">
      <c r="A42" s="4"/>
      <c r="B42" s="9" t="s">
        <v>135</v>
      </c>
      <c r="C42" s="10"/>
      <c r="D42" s="10"/>
      <c r="E42" s="10"/>
      <c r="F42" s="10"/>
      <c r="G42" s="10"/>
    </row>
    <row r="43" spans="1:7" ht="15.75" customHeight="1" x14ac:dyDescent="0.25">
      <c r="A43" s="4"/>
      <c r="B43" s="15" t="s">
        <v>136</v>
      </c>
      <c r="C43" s="4"/>
      <c r="D43" s="4">
        <v>-98.01</v>
      </c>
      <c r="E43" s="4">
        <v>-87.53</v>
      </c>
      <c r="F43" s="4">
        <v>640</v>
      </c>
      <c r="G43" s="4">
        <v>3423</v>
      </c>
    </row>
    <row r="44" spans="1:7" ht="15.75" customHeight="1" x14ac:dyDescent="0.25">
      <c r="A44" s="4"/>
      <c r="B44" s="15" t="s">
        <v>137</v>
      </c>
      <c r="C44" s="4"/>
      <c r="D44" s="4">
        <v>-60.3</v>
      </c>
      <c r="E44" s="4">
        <v>-48.79</v>
      </c>
      <c r="F44" s="4">
        <v>-49.77</v>
      </c>
      <c r="G44" s="4">
        <v>-34.32</v>
      </c>
    </row>
    <row r="45" spans="1:7" ht="15.75" customHeight="1" x14ac:dyDescent="0.25">
      <c r="A45" s="4"/>
      <c r="B45" s="15" t="s">
        <v>138</v>
      </c>
      <c r="C45" s="4"/>
      <c r="D45" s="4">
        <v>-12.95</v>
      </c>
      <c r="E45" s="4">
        <v>-9.57</v>
      </c>
      <c r="F45" s="4">
        <v>-7.27</v>
      </c>
      <c r="G45" s="4">
        <v>-4.7300000000000004</v>
      </c>
    </row>
    <row r="46" spans="1:7" ht="15.75" customHeight="1" x14ac:dyDescent="0.25">
      <c r="A46" s="4"/>
      <c r="B46" s="15" t="s">
        <v>139</v>
      </c>
      <c r="C46" s="4"/>
      <c r="D46" s="4">
        <v>-0.68</v>
      </c>
      <c r="E46" s="4">
        <v>-0.3</v>
      </c>
      <c r="F46" s="4">
        <v>-139.18</v>
      </c>
      <c r="G46" s="4">
        <v>-139.44999999999999</v>
      </c>
    </row>
    <row r="47" spans="1:7" ht="15.75" customHeight="1" thickBot="1" x14ac:dyDescent="0.3">
      <c r="A47" s="4"/>
      <c r="B47" s="15" t="s">
        <v>140</v>
      </c>
      <c r="C47" s="4"/>
      <c r="D47" s="4">
        <v>-222.21</v>
      </c>
      <c r="E47" s="4">
        <v>-183.3</v>
      </c>
      <c r="F47" s="4">
        <v>-354.82</v>
      </c>
      <c r="G47" s="4">
        <v>-588.76</v>
      </c>
    </row>
    <row r="48" spans="1:7" ht="15.75" customHeight="1" x14ac:dyDescent="0.25">
      <c r="A48" s="4"/>
      <c r="B48" s="22" t="s">
        <v>141</v>
      </c>
      <c r="C48" s="23"/>
      <c r="D48" s="23">
        <v>-394.15</v>
      </c>
      <c r="E48" s="23">
        <v>-329.49</v>
      </c>
      <c r="F48" s="23">
        <v>88.96</v>
      </c>
      <c r="G48" s="23">
        <v>2655.74</v>
      </c>
    </row>
    <row r="49" spans="1:7" ht="15.75" customHeight="1" x14ac:dyDescent="0.25">
      <c r="A49" s="4"/>
      <c r="B49" s="18" t="s">
        <v>142</v>
      </c>
      <c r="C49" s="19"/>
      <c r="D49" s="19">
        <v>123.3</v>
      </c>
      <c r="E49" s="19">
        <v>-794.56</v>
      </c>
      <c r="F49" s="19">
        <v>827.9</v>
      </c>
      <c r="G49" s="19">
        <v>273.7</v>
      </c>
    </row>
    <row r="50" spans="1:7" ht="15.75" customHeight="1" x14ac:dyDescent="0.25">
      <c r="A50" s="4"/>
      <c r="B50" s="13" t="s">
        <v>143</v>
      </c>
      <c r="C50" s="4"/>
      <c r="D50" s="4">
        <v>1396.6</v>
      </c>
      <c r="E50" s="4">
        <v>1519.9</v>
      </c>
      <c r="F50" s="4">
        <v>732.62</v>
      </c>
      <c r="G50" s="4">
        <v>1561.34</v>
      </c>
    </row>
    <row r="51" spans="1:7" ht="15.75" customHeight="1" thickBot="1" x14ac:dyDescent="0.3">
      <c r="A51" s="4"/>
      <c r="B51" s="13" t="s">
        <v>144</v>
      </c>
      <c r="C51" s="4"/>
      <c r="D51" s="4">
        <v>0</v>
      </c>
      <c r="E51" s="4">
        <v>7.28</v>
      </c>
      <c r="F51" s="4">
        <v>0</v>
      </c>
      <c r="G51" s="4"/>
    </row>
    <row r="52" spans="1:7" ht="15.75" customHeight="1" thickBot="1" x14ac:dyDescent="0.3">
      <c r="A52" s="4"/>
      <c r="B52" s="20" t="s">
        <v>145</v>
      </c>
      <c r="C52" s="21"/>
      <c r="D52" s="21">
        <v>1519.9</v>
      </c>
      <c r="E52" s="21">
        <v>732.62</v>
      </c>
      <c r="F52" s="21">
        <v>1560.52</v>
      </c>
      <c r="G52" s="21">
        <v>1835.04</v>
      </c>
    </row>
    <row r="53" spans="1:7" ht="15.75" customHeight="1" thickTop="1" x14ac:dyDescent="0.25"/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61C0D-8E8A-455A-90F6-DEAD39A4F1BE}">
  <sheetPr>
    <tabColor rgb="FF00B050"/>
  </sheetPr>
  <dimension ref="B1:M195"/>
  <sheetViews>
    <sheetView showGridLines="0" tabSelected="1" zoomScale="74" zoomScaleNormal="10" workbookViewId="0">
      <pane xSplit="4" ySplit="4" topLeftCell="E187" activePane="bottomRight" state="frozen"/>
      <selection pane="topRight" activeCell="D1" sqref="D1"/>
      <selection pane="bottomLeft" activeCell="A5" sqref="A5"/>
      <selection pane="bottomRight" activeCell="C144" sqref="C144"/>
    </sheetView>
  </sheetViews>
  <sheetFormatPr defaultRowHeight="15.75" customHeight="1" x14ac:dyDescent="0.25"/>
  <cols>
    <col min="1" max="1" width="4.109375" style="4" customWidth="1"/>
    <col min="2" max="2" width="3.5546875" style="4" customWidth="1"/>
    <col min="3" max="3" width="36.88671875" style="4" customWidth="1"/>
    <col min="4" max="4" width="33" style="4" customWidth="1"/>
    <col min="5" max="8" width="15" style="4" customWidth="1"/>
    <col min="9" max="13" width="14.21875" style="4" customWidth="1"/>
    <col min="14" max="16384" width="8.88671875" style="4"/>
  </cols>
  <sheetData>
    <row r="1" spans="2:13" ht="27.95" customHeight="1" x14ac:dyDescent="0.25">
      <c r="B1" s="118" t="s">
        <v>187</v>
      </c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</row>
    <row r="2" spans="2:13" ht="18" customHeight="1" x14ac:dyDescent="0.25">
      <c r="B2" s="119"/>
      <c r="C2" s="120" t="s">
        <v>188</v>
      </c>
      <c r="D2" s="119"/>
      <c r="E2" s="119"/>
      <c r="F2" s="119"/>
      <c r="G2" s="119"/>
      <c r="H2" s="119"/>
    </row>
    <row r="4" spans="2:13" ht="21.95" customHeight="1" x14ac:dyDescent="0.25">
      <c r="B4" s="121"/>
      <c r="C4" s="121" t="s">
        <v>3</v>
      </c>
      <c r="D4" s="121" t="s">
        <v>189</v>
      </c>
      <c r="E4" s="122" t="s">
        <v>147</v>
      </c>
      <c r="F4" s="122" t="s">
        <v>148</v>
      </c>
      <c r="G4" s="122" t="s">
        <v>149</v>
      </c>
      <c r="H4" s="122" t="s">
        <v>150</v>
      </c>
      <c r="I4" s="175" t="s">
        <v>418</v>
      </c>
      <c r="J4" s="175" t="s">
        <v>419</v>
      </c>
      <c r="K4" s="175" t="s">
        <v>420</v>
      </c>
      <c r="L4" s="175" t="s">
        <v>421</v>
      </c>
      <c r="M4" s="175" t="s">
        <v>422</v>
      </c>
    </row>
    <row r="5" spans="2:13" ht="15.75" customHeight="1" x14ac:dyDescent="0.25">
      <c r="B5" s="10"/>
      <c r="C5" s="10" t="s">
        <v>190</v>
      </c>
      <c r="D5" s="10"/>
      <c r="E5" s="123"/>
      <c r="F5" s="123"/>
      <c r="G5" s="123"/>
      <c r="H5" s="123"/>
      <c r="I5" s="174"/>
      <c r="J5" s="174"/>
      <c r="K5" s="174"/>
      <c r="L5" s="174"/>
      <c r="M5" s="174"/>
    </row>
    <row r="6" spans="2:13" ht="15.75" customHeight="1" x14ac:dyDescent="0.25">
      <c r="C6" s="4" t="s">
        <v>67</v>
      </c>
      <c r="D6" s="119" t="s">
        <v>152</v>
      </c>
      <c r="E6" s="124">
        <f>'P&amp;L'!D6</f>
        <v>17308.689999999999</v>
      </c>
      <c r="F6" s="124">
        <f>'P&amp;L'!E6</f>
        <v>21211.09</v>
      </c>
      <c r="G6" s="124">
        <f>'P&amp;L'!F6</f>
        <v>23364.94</v>
      </c>
      <c r="H6" s="124">
        <f>'P&amp;L'!G6</f>
        <v>23892.78</v>
      </c>
      <c r="I6" s="126">
        <f t="shared" ref="I6:M6" si="0">H6*(1+I108)</f>
        <v>25804.202400000002</v>
      </c>
      <c r="J6" s="126">
        <f t="shared" si="0"/>
        <v>27868.538592000004</v>
      </c>
      <c r="K6" s="126">
        <f t="shared" si="0"/>
        <v>29819.336293440007</v>
      </c>
      <c r="L6" s="126">
        <f t="shared" si="0"/>
        <v>31906.68983398081</v>
      </c>
      <c r="M6" s="126">
        <f t="shared" si="0"/>
        <v>33821.091224019663</v>
      </c>
    </row>
    <row r="7" spans="2:13" ht="15.75" customHeight="1" x14ac:dyDescent="0.25">
      <c r="C7" s="125" t="s">
        <v>191</v>
      </c>
      <c r="D7" s="119" t="s">
        <v>192</v>
      </c>
      <c r="E7" s="126"/>
      <c r="F7" s="126">
        <f t="shared" ref="F7:H7" si="1">F6/E6-1</f>
        <v>0.22545900354099602</v>
      </c>
      <c r="G7" s="126">
        <f t="shared" si="1"/>
        <v>0.10154357932572067</v>
      </c>
      <c r="H7" s="126">
        <f t="shared" si="1"/>
        <v>2.2591113009492014E-2</v>
      </c>
      <c r="I7" s="126">
        <f t="shared" ref="I7:M7" si="2">I6/H6-1</f>
        <v>8.0000000000000071E-2</v>
      </c>
      <c r="J7" s="126">
        <f t="shared" si="2"/>
        <v>8.0000000000000071E-2</v>
      </c>
      <c r="K7" s="126">
        <f t="shared" si="2"/>
        <v>7.0000000000000062E-2</v>
      </c>
      <c r="L7" s="126">
        <f t="shared" si="2"/>
        <v>7.0000000000000062E-2</v>
      </c>
      <c r="M7" s="126">
        <f t="shared" si="2"/>
        <v>6.0000000000000053E-2</v>
      </c>
    </row>
    <row r="8" spans="2:13" ht="15.75" customHeight="1" x14ac:dyDescent="0.25">
      <c r="C8" s="4" t="s">
        <v>68</v>
      </c>
      <c r="D8" s="119" t="s">
        <v>193</v>
      </c>
      <c r="E8" s="124">
        <f>'P&amp;L'!D7</f>
        <v>348.42</v>
      </c>
      <c r="F8" s="124">
        <f>'P&amp;L'!E7</f>
        <v>354.54</v>
      </c>
      <c r="G8" s="124">
        <f>'P&amp;L'!F7</f>
        <v>488.63</v>
      </c>
      <c r="H8" s="124">
        <f>'P&amp;L'!G7</f>
        <v>546.27</v>
      </c>
      <c r="I8" s="126">
        <f t="shared" ref="I8:M8" si="3">I6*I112</f>
        <v>516.08404800000005</v>
      </c>
      <c r="J8" s="126">
        <f t="shared" si="3"/>
        <v>557.37077184000009</v>
      </c>
      <c r="K8" s="126">
        <f t="shared" si="3"/>
        <v>596.38672586880011</v>
      </c>
      <c r="L8" s="126">
        <f t="shared" si="3"/>
        <v>638.13379667961624</v>
      </c>
      <c r="M8" s="126">
        <f t="shared" si="3"/>
        <v>676.4218244803933</v>
      </c>
    </row>
    <row r="9" spans="2:13" ht="15.75" customHeight="1" x14ac:dyDescent="0.25">
      <c r="B9" s="127"/>
      <c r="C9" s="128" t="s">
        <v>154</v>
      </c>
      <c r="D9" s="129" t="s">
        <v>155</v>
      </c>
      <c r="E9" s="130">
        <f>'P&amp;L'!D8</f>
        <v>17657.11</v>
      </c>
      <c r="F9" s="130">
        <f>'P&amp;L'!E8</f>
        <v>21565.63</v>
      </c>
      <c r="G9" s="130">
        <f>'P&amp;L'!F8</f>
        <v>23853.57</v>
      </c>
      <c r="H9" s="130">
        <f>'P&amp;L'!G8</f>
        <v>24439.05</v>
      </c>
      <c r="I9" s="172">
        <f t="shared" ref="I9:M9" si="4">I6+I8</f>
        <v>26320.286448000003</v>
      </c>
      <c r="J9" s="172">
        <f t="shared" si="4"/>
        <v>28425.909363840005</v>
      </c>
      <c r="K9" s="172">
        <f t="shared" si="4"/>
        <v>30415.723019308807</v>
      </c>
      <c r="L9" s="172">
        <f t="shared" si="4"/>
        <v>32544.823630660427</v>
      </c>
      <c r="M9" s="172">
        <f t="shared" si="4"/>
        <v>34497.513048500055</v>
      </c>
    </row>
    <row r="10" spans="2:13" ht="15.75" customHeight="1" x14ac:dyDescent="0.25">
      <c r="C10" s="125" t="s">
        <v>194</v>
      </c>
      <c r="D10" s="119" t="s">
        <v>192</v>
      </c>
      <c r="E10" s="126"/>
      <c r="F10" s="126">
        <f t="shared" ref="F10:H10" si="5">F9/E9-1</f>
        <v>0.22135672258937045</v>
      </c>
      <c r="G10" s="126">
        <f t="shared" si="5"/>
        <v>0.10609196207112892</v>
      </c>
      <c r="H10" s="126">
        <f t="shared" si="5"/>
        <v>2.4544753678380271E-2</v>
      </c>
      <c r="I10" s="126">
        <f t="shared" ref="I10:M10" si="6">I9/H9-1</f>
        <v>7.6976660222062732E-2</v>
      </c>
      <c r="J10" s="126">
        <f t="shared" si="6"/>
        <v>8.0000000000000071E-2</v>
      </c>
      <c r="K10" s="126">
        <f t="shared" si="6"/>
        <v>7.0000000000000062E-2</v>
      </c>
      <c r="L10" s="126">
        <f t="shared" si="6"/>
        <v>7.0000000000000062E-2</v>
      </c>
      <c r="M10" s="126">
        <f t="shared" si="6"/>
        <v>6.0000000000000053E-2</v>
      </c>
    </row>
    <row r="11" spans="2:13" ht="15.75" customHeight="1" x14ac:dyDescent="0.25">
      <c r="C11" s="4" t="s">
        <v>195</v>
      </c>
      <c r="D11" s="119" t="s">
        <v>196</v>
      </c>
      <c r="E11" s="126">
        <f>'P&amp;L'!D10+'P&amp;L'!D11+'P&amp;L'!D12+'P&amp;L'!D13+'P&amp;L'!D14</f>
        <v>11870.63</v>
      </c>
      <c r="F11" s="126">
        <f>'P&amp;L'!E10+'P&amp;L'!E11+'P&amp;L'!E12+'P&amp;L'!E13+'P&amp;L'!E14</f>
        <v>14793.840000000002</v>
      </c>
      <c r="G11" s="126">
        <f>'P&amp;L'!F10+'P&amp;L'!F11+'P&amp;L'!F12+'P&amp;L'!F13+'P&amp;L'!F14</f>
        <v>16300.720000000001</v>
      </c>
      <c r="H11" s="126">
        <f>'P&amp;L'!G10+'P&amp;L'!G11+'P&amp;L'!G12+'P&amp;L'!G13+'P&amp;L'!G14</f>
        <v>16807.109999999997</v>
      </c>
      <c r="I11" s="126">
        <f t="shared" ref="I11:M11" si="7">I6-I12</f>
        <v>18062.941680000004</v>
      </c>
      <c r="J11" s="126">
        <f t="shared" si="7"/>
        <v>19507.977014400003</v>
      </c>
      <c r="K11" s="126">
        <f t="shared" si="7"/>
        <v>20873.535405408005</v>
      </c>
      <c r="L11" s="126">
        <f t="shared" si="7"/>
        <v>22334.682883786569</v>
      </c>
      <c r="M11" s="126">
        <f t="shared" si="7"/>
        <v>23674.763856813763</v>
      </c>
    </row>
    <row r="12" spans="2:13" ht="15.75" customHeight="1" x14ac:dyDescent="0.25">
      <c r="B12" s="131"/>
      <c r="C12" s="19" t="s">
        <v>197</v>
      </c>
      <c r="D12" s="132" t="s">
        <v>198</v>
      </c>
      <c r="E12" s="133">
        <f t="shared" ref="E12:H12" si="8">E6-E11</f>
        <v>5438.0599999999995</v>
      </c>
      <c r="F12" s="133">
        <f t="shared" si="8"/>
        <v>6417.2499999999982</v>
      </c>
      <c r="G12" s="133">
        <f t="shared" si="8"/>
        <v>7064.2199999999975</v>
      </c>
      <c r="H12" s="133">
        <f t="shared" si="8"/>
        <v>7085.6700000000019</v>
      </c>
      <c r="I12" s="172">
        <f t="shared" ref="I12:M12" si="9">I6*I111</f>
        <v>7741.2607200000002</v>
      </c>
      <c r="J12" s="172">
        <f t="shared" si="9"/>
        <v>8360.5615776000013</v>
      </c>
      <c r="K12" s="172">
        <f t="shared" si="9"/>
        <v>8945.8008880320012</v>
      </c>
      <c r="L12" s="172">
        <f t="shared" si="9"/>
        <v>9572.0069501942435</v>
      </c>
      <c r="M12" s="172">
        <f t="shared" si="9"/>
        <v>10146.327367205899</v>
      </c>
    </row>
    <row r="13" spans="2:13" ht="15.75" customHeight="1" x14ac:dyDescent="0.25">
      <c r="C13" s="125" t="s">
        <v>199</v>
      </c>
      <c r="D13" s="119" t="s">
        <v>200</v>
      </c>
      <c r="E13" s="126">
        <f t="shared" ref="E13:H13" si="10">E12/E6</f>
        <v>0.31418091143812732</v>
      </c>
      <c r="F13" s="126">
        <f t="shared" si="10"/>
        <v>0.30254220787333408</v>
      </c>
      <c r="G13" s="126">
        <f t="shared" si="10"/>
        <v>0.30234274087585922</v>
      </c>
      <c r="H13" s="126">
        <f t="shared" si="10"/>
        <v>0.29656113687900704</v>
      </c>
      <c r="I13" s="126">
        <f t="shared" ref="I13:M13" si="11">I12/I6</f>
        <v>0.3</v>
      </c>
      <c r="J13" s="126">
        <f t="shared" si="11"/>
        <v>0.3</v>
      </c>
      <c r="K13" s="126">
        <f t="shared" si="11"/>
        <v>0.3</v>
      </c>
      <c r="L13" s="126">
        <f t="shared" si="11"/>
        <v>0.3</v>
      </c>
      <c r="M13" s="126">
        <f t="shared" si="11"/>
        <v>0.3</v>
      </c>
    </row>
    <row r="14" spans="2:13" ht="15.75" customHeight="1" x14ac:dyDescent="0.25">
      <c r="C14" s="4" t="s">
        <v>201</v>
      </c>
      <c r="D14" s="119" t="s">
        <v>202</v>
      </c>
      <c r="E14" s="124">
        <f>'P&amp;L'!D15</f>
        <v>5378.15</v>
      </c>
      <c r="F14" s="124">
        <f>'P&amp;L'!E15</f>
        <v>5519.05</v>
      </c>
      <c r="G14" s="124">
        <f>'P&amp;L'!F15</f>
        <v>5700.63</v>
      </c>
      <c r="H14" s="124">
        <f>'P&amp;L'!G15</f>
        <v>5628.84</v>
      </c>
      <c r="I14" s="126">
        <f t="shared" ref="I14:M14" si="12">I6*I113</f>
        <v>6322.0295880000003</v>
      </c>
      <c r="J14" s="126">
        <f t="shared" si="12"/>
        <v>6827.7919550400011</v>
      </c>
      <c r="K14" s="126">
        <f t="shared" si="12"/>
        <v>7305.7373918928015</v>
      </c>
      <c r="L14" s="126">
        <f t="shared" si="12"/>
        <v>7817.1390093252985</v>
      </c>
      <c r="M14" s="126">
        <f t="shared" si="12"/>
        <v>8286.1673498848177</v>
      </c>
    </row>
    <row r="15" spans="2:13" ht="15.75" customHeight="1" x14ac:dyDescent="0.25">
      <c r="C15" s="4" t="s">
        <v>203</v>
      </c>
      <c r="D15" s="119" t="s">
        <v>204</v>
      </c>
      <c r="E15" s="124">
        <f>'P&amp;L'!D16</f>
        <v>3201.2</v>
      </c>
      <c r="F15" s="124">
        <f>'P&amp;L'!E16</f>
        <v>162.62</v>
      </c>
      <c r="G15" s="124">
        <f>'P&amp;L'!F16</f>
        <v>647.03</v>
      </c>
      <c r="H15" s="124">
        <f>'P&amp;L'!G16</f>
        <v>844.23</v>
      </c>
      <c r="I15" s="126">
        <f t="shared" ref="I15:M15" si="13">I6*I114</f>
        <v>645.10506000000009</v>
      </c>
      <c r="J15" s="126">
        <f t="shared" si="13"/>
        <v>696.71346480000011</v>
      </c>
      <c r="K15" s="126">
        <f t="shared" si="13"/>
        <v>745.48340733600025</v>
      </c>
      <c r="L15" s="126">
        <f t="shared" si="13"/>
        <v>797.66724584952033</v>
      </c>
      <c r="M15" s="126">
        <f t="shared" si="13"/>
        <v>845.52728060049162</v>
      </c>
    </row>
    <row r="16" spans="2:13" ht="15.75" customHeight="1" x14ac:dyDescent="0.25">
      <c r="B16" s="131"/>
      <c r="C16" s="19" t="s">
        <v>205</v>
      </c>
      <c r="D16" s="132" t="s">
        <v>206</v>
      </c>
      <c r="E16" s="133">
        <f>'P&amp;L'!D22+'P&amp;L'!D17+'P&amp;L'!D18</f>
        <v>-2748.73</v>
      </c>
      <c r="F16" s="133">
        <f>'P&amp;L'!E22+'P&amp;L'!E17+'P&amp;L'!E18</f>
        <v>1140.54</v>
      </c>
      <c r="G16" s="133">
        <f>'P&amp;L'!F22+'P&amp;L'!F17+'P&amp;L'!F18</f>
        <v>1261.2099999999998</v>
      </c>
      <c r="H16" s="133">
        <f>'P&amp;L'!G22+'P&amp;L'!G17+'P&amp;L'!G18</f>
        <v>1222.8499999999999</v>
      </c>
      <c r="I16" s="172">
        <f t="shared" ref="I16:M16" si="14">I12+I8-I14-I15</f>
        <v>1290.2101200000004</v>
      </c>
      <c r="J16" s="172">
        <f t="shared" si="14"/>
        <v>1393.4269296000002</v>
      </c>
      <c r="K16" s="172">
        <f t="shared" si="14"/>
        <v>1490.9668146720001</v>
      </c>
      <c r="L16" s="172">
        <f t="shared" si="14"/>
        <v>1595.3344916990409</v>
      </c>
      <c r="M16" s="172">
        <f t="shared" si="14"/>
        <v>1691.0545612009835</v>
      </c>
    </row>
    <row r="17" spans="2:13" ht="15.75" customHeight="1" x14ac:dyDescent="0.25">
      <c r="C17" s="125" t="s">
        <v>207</v>
      </c>
      <c r="D17" s="119" t="s">
        <v>208</v>
      </c>
      <c r="E17" s="126">
        <f t="shared" ref="E17:H17" si="15">E16/E6</f>
        <v>-0.15880635680689875</v>
      </c>
      <c r="F17" s="126">
        <f t="shared" si="15"/>
        <v>5.3770928320986802E-2</v>
      </c>
      <c r="G17" s="126">
        <f t="shared" si="15"/>
        <v>5.3978739085142093E-2</v>
      </c>
      <c r="H17" s="126">
        <f t="shared" si="15"/>
        <v>5.1180733259168665E-2</v>
      </c>
      <c r="I17" s="126">
        <f t="shared" ref="I17:M17" si="16">I16/I6</f>
        <v>5.000000000000001E-2</v>
      </c>
      <c r="J17" s="126">
        <f t="shared" si="16"/>
        <v>0.05</v>
      </c>
      <c r="K17" s="126">
        <f t="shared" si="16"/>
        <v>4.9999999999999989E-2</v>
      </c>
      <c r="L17" s="126">
        <f t="shared" si="16"/>
        <v>5.000000000000001E-2</v>
      </c>
      <c r="M17" s="126">
        <f t="shared" si="16"/>
        <v>5.000000000000001E-2</v>
      </c>
    </row>
    <row r="18" spans="2:13" ht="15.75" customHeight="1" x14ac:dyDescent="0.25">
      <c r="C18" s="4" t="s">
        <v>209</v>
      </c>
      <c r="D18" s="119" t="s">
        <v>210</v>
      </c>
      <c r="E18" s="124">
        <f>'P&amp;L'!D18</f>
        <v>473.25</v>
      </c>
      <c r="F18" s="124">
        <f>'P&amp;L'!E18</f>
        <v>314.12</v>
      </c>
      <c r="G18" s="124">
        <f>'P&amp;L'!F18</f>
        <v>260.33999999999997</v>
      </c>
      <c r="H18" s="124">
        <f>'P&amp;L'!G18</f>
        <v>248.9</v>
      </c>
      <c r="I18" s="126">
        <f t="shared" ref="I18:M18" si="17">I6*I115</f>
        <v>309.65042880000004</v>
      </c>
      <c r="J18" s="126">
        <f t="shared" si="17"/>
        <v>334.42246310400009</v>
      </c>
      <c r="K18" s="126">
        <f t="shared" si="17"/>
        <v>357.83203552128009</v>
      </c>
      <c r="L18" s="126">
        <f t="shared" si="17"/>
        <v>382.88027800776973</v>
      </c>
      <c r="M18" s="126">
        <f t="shared" si="17"/>
        <v>405.85309468823596</v>
      </c>
    </row>
    <row r="19" spans="2:13" ht="15.75" customHeight="1" x14ac:dyDescent="0.25">
      <c r="B19" s="131"/>
      <c r="C19" s="19" t="s">
        <v>211</v>
      </c>
      <c r="D19" s="132" t="s">
        <v>212</v>
      </c>
      <c r="E19" s="133">
        <f t="shared" ref="E19:H19" si="18">E16-E18</f>
        <v>-3221.98</v>
      </c>
      <c r="F19" s="133">
        <f t="shared" si="18"/>
        <v>826.42</v>
      </c>
      <c r="G19" s="133">
        <f t="shared" si="18"/>
        <v>1000.8699999999999</v>
      </c>
      <c r="H19" s="133">
        <f t="shared" si="18"/>
        <v>973.94999999999993</v>
      </c>
      <c r="I19" s="172">
        <f t="shared" ref="I19:M19" si="19">I16-I18</f>
        <v>980.55969120000032</v>
      </c>
      <c r="J19" s="172">
        <f t="shared" si="19"/>
        <v>1059.0044664960001</v>
      </c>
      <c r="K19" s="172">
        <f t="shared" si="19"/>
        <v>1133.1347791507201</v>
      </c>
      <c r="L19" s="172">
        <f t="shared" si="19"/>
        <v>1212.4542136912712</v>
      </c>
      <c r="M19" s="172">
        <f t="shared" si="19"/>
        <v>1285.2014665127476</v>
      </c>
    </row>
    <row r="20" spans="2:13" ht="15.75" customHeight="1" x14ac:dyDescent="0.25">
      <c r="C20" s="125" t="s">
        <v>213</v>
      </c>
      <c r="D20" s="119" t="s">
        <v>214</v>
      </c>
      <c r="E20" s="126">
        <f t="shared" ref="E20:H20" si="20">E19/E6</f>
        <v>-0.18614811403982626</v>
      </c>
      <c r="F20" s="126">
        <f t="shared" si="20"/>
        <v>3.8961694094928639E-2</v>
      </c>
      <c r="G20" s="126">
        <f t="shared" si="20"/>
        <v>4.2836403603005183E-2</v>
      </c>
      <c r="H20" s="126">
        <f t="shared" si="20"/>
        <v>4.0763360312194727E-2</v>
      </c>
      <c r="I20" s="126">
        <f t="shared" ref="I20:M20" si="21">I19/I6</f>
        <v>3.8000000000000006E-2</v>
      </c>
      <c r="J20" s="126">
        <f t="shared" si="21"/>
        <v>3.7999999999999999E-2</v>
      </c>
      <c r="K20" s="126">
        <f t="shared" si="21"/>
        <v>3.7999999999999992E-2</v>
      </c>
      <c r="L20" s="126">
        <f t="shared" si="21"/>
        <v>3.8000000000000013E-2</v>
      </c>
      <c r="M20" s="126">
        <f t="shared" si="21"/>
        <v>3.8000000000000013E-2</v>
      </c>
    </row>
    <row r="21" spans="2:13" ht="15.75" customHeight="1" x14ac:dyDescent="0.25">
      <c r="C21" s="4" t="s">
        <v>215</v>
      </c>
      <c r="D21" s="119" t="s">
        <v>216</v>
      </c>
      <c r="E21" s="124">
        <f>'P&amp;L'!D17</f>
        <v>373.95</v>
      </c>
      <c r="F21" s="124">
        <f>'P&amp;L'!E17</f>
        <v>355.96</v>
      </c>
      <c r="G21" s="124">
        <f>'P&amp;L'!F17</f>
        <v>521.42999999999995</v>
      </c>
      <c r="H21" s="124">
        <f>'P&amp;L'!G17</f>
        <v>731.29</v>
      </c>
      <c r="I21" s="126">
        <f t="shared" ref="I21:M21" si="22">I6*I116</f>
        <v>645.10506000000009</v>
      </c>
      <c r="J21" s="126">
        <f t="shared" si="22"/>
        <v>696.71346480000011</v>
      </c>
      <c r="K21" s="126">
        <f t="shared" si="22"/>
        <v>745.48340733600025</v>
      </c>
      <c r="L21" s="126">
        <f t="shared" si="22"/>
        <v>797.66724584952033</v>
      </c>
      <c r="M21" s="126">
        <f t="shared" si="22"/>
        <v>845.52728060049162</v>
      </c>
    </row>
    <row r="22" spans="2:13" ht="15.75" customHeight="1" x14ac:dyDescent="0.25">
      <c r="B22" s="131"/>
      <c r="C22" s="19" t="s">
        <v>217</v>
      </c>
      <c r="D22" s="132" t="s">
        <v>156</v>
      </c>
      <c r="E22" s="134">
        <f>'P&amp;L'!D22</f>
        <v>-3595.93</v>
      </c>
      <c r="F22" s="134">
        <f>'P&amp;L'!E22</f>
        <v>470.46</v>
      </c>
      <c r="G22" s="134">
        <f>'P&amp;L'!F22</f>
        <v>479.44</v>
      </c>
      <c r="H22" s="134">
        <f>'P&amp;L'!G22</f>
        <v>242.66</v>
      </c>
      <c r="I22" s="172">
        <f t="shared" ref="I22:M22" si="23">I19-I21</f>
        <v>335.45463120000022</v>
      </c>
      <c r="J22" s="172">
        <f t="shared" si="23"/>
        <v>362.29100169599997</v>
      </c>
      <c r="K22" s="172">
        <f t="shared" si="23"/>
        <v>387.65137181471982</v>
      </c>
      <c r="L22" s="172">
        <f t="shared" si="23"/>
        <v>414.78696784175088</v>
      </c>
      <c r="M22" s="172">
        <f t="shared" si="23"/>
        <v>439.67418591225601</v>
      </c>
    </row>
    <row r="23" spans="2:13" ht="15.75" customHeight="1" x14ac:dyDescent="0.25">
      <c r="C23" s="125" t="s">
        <v>157</v>
      </c>
      <c r="D23" s="119" t="s">
        <v>158</v>
      </c>
      <c r="E23" s="126">
        <f t="shared" ref="E23:H23" si="24">E22/E6</f>
        <v>-0.20775286864574963</v>
      </c>
      <c r="F23" s="126">
        <f t="shared" si="24"/>
        <v>2.2179906831756406E-2</v>
      </c>
      <c r="G23" s="126">
        <f t="shared" si="24"/>
        <v>2.0519633262486445E-2</v>
      </c>
      <c r="H23" s="126">
        <f t="shared" si="24"/>
        <v>1.015620618446242E-2</v>
      </c>
      <c r="I23" s="126">
        <f t="shared" ref="I23:M23" si="25">I22/I6</f>
        <v>1.3000000000000008E-2</v>
      </c>
      <c r="J23" s="126">
        <f t="shared" si="25"/>
        <v>1.2999999999999996E-2</v>
      </c>
      <c r="K23" s="126">
        <f t="shared" si="25"/>
        <v>1.2999999999999991E-2</v>
      </c>
      <c r="L23" s="126">
        <f t="shared" si="25"/>
        <v>1.3000000000000012E-2</v>
      </c>
      <c r="M23" s="126">
        <f t="shared" si="25"/>
        <v>1.3000000000000012E-2</v>
      </c>
    </row>
    <row r="24" spans="2:13" ht="15.75" customHeight="1" x14ac:dyDescent="0.25">
      <c r="C24" s="4" t="s">
        <v>218</v>
      </c>
      <c r="D24" s="119" t="s">
        <v>219</v>
      </c>
      <c r="E24" s="124">
        <f>'P&amp;L'!D26</f>
        <v>-896.23</v>
      </c>
      <c r="F24" s="124">
        <f>'P&amp;L'!E26</f>
        <v>25.75</v>
      </c>
      <c r="G24" s="124">
        <f>'P&amp;L'!F26</f>
        <v>2.0499999999999998</v>
      </c>
      <c r="H24" s="124">
        <f>'P&amp;L'!G26</f>
        <v>-39.56</v>
      </c>
      <c r="I24" s="126">
        <f t="shared" ref="I24:M24" si="26">I22*I117</f>
        <v>83.863657800000055</v>
      </c>
      <c r="J24" s="126">
        <f t="shared" si="26"/>
        <v>90.572750423999992</v>
      </c>
      <c r="K24" s="126">
        <f t="shared" si="26"/>
        <v>96.912842953679956</v>
      </c>
      <c r="L24" s="126">
        <f t="shared" si="26"/>
        <v>103.69674196043772</v>
      </c>
      <c r="M24" s="126">
        <f t="shared" si="26"/>
        <v>109.918546478064</v>
      </c>
    </row>
    <row r="25" spans="2:13" ht="15.75" customHeight="1" x14ac:dyDescent="0.25">
      <c r="C25" s="125" t="s">
        <v>220</v>
      </c>
      <c r="D25" s="119" t="s">
        <v>221</v>
      </c>
      <c r="E25" s="126">
        <f t="shared" ref="E25:H25" si="27">E24/E22</f>
        <v>0.24923455128436872</v>
      </c>
      <c r="F25" s="126">
        <f t="shared" si="27"/>
        <v>5.4733664923691708E-2</v>
      </c>
      <c r="G25" s="126">
        <f t="shared" si="27"/>
        <v>4.2758217920907723E-3</v>
      </c>
      <c r="H25" s="126">
        <f t="shared" si="27"/>
        <v>-0.16302645677079042</v>
      </c>
      <c r="I25" s="126">
        <f t="shared" ref="I25:M25" si="28">I24/I22</f>
        <v>0.25</v>
      </c>
      <c r="J25" s="126">
        <f t="shared" si="28"/>
        <v>0.25</v>
      </c>
      <c r="K25" s="126">
        <f t="shared" si="28"/>
        <v>0.25</v>
      </c>
      <c r="L25" s="126">
        <f t="shared" si="28"/>
        <v>0.25</v>
      </c>
      <c r="M25" s="126">
        <f t="shared" si="28"/>
        <v>0.25</v>
      </c>
    </row>
    <row r="26" spans="2:13" ht="15.75" customHeight="1" x14ac:dyDescent="0.25">
      <c r="B26" s="135"/>
      <c r="C26" s="136" t="s">
        <v>222</v>
      </c>
      <c r="D26" s="137" t="s">
        <v>159</v>
      </c>
      <c r="E26" s="138">
        <f>'P&amp;L'!D27</f>
        <v>-2699.7</v>
      </c>
      <c r="F26" s="138">
        <f>'P&amp;L'!E27</f>
        <v>444.71</v>
      </c>
      <c r="G26" s="138">
        <f>'P&amp;L'!F27</f>
        <v>477.39</v>
      </c>
      <c r="H26" s="138">
        <f>'P&amp;L'!G27</f>
        <v>282.22000000000003</v>
      </c>
      <c r="I26" s="172">
        <f t="shared" ref="I26:M26" si="29">I22-I24</f>
        <v>251.59097340000017</v>
      </c>
      <c r="J26" s="172">
        <f t="shared" si="29"/>
        <v>271.71825127199997</v>
      </c>
      <c r="K26" s="172">
        <f t="shared" si="29"/>
        <v>290.73852886103987</v>
      </c>
      <c r="L26" s="172">
        <f t="shared" si="29"/>
        <v>311.09022588131313</v>
      </c>
      <c r="M26" s="172">
        <f t="shared" si="29"/>
        <v>329.75563943419201</v>
      </c>
    </row>
    <row r="27" spans="2:13" ht="15.75" customHeight="1" x14ac:dyDescent="0.25">
      <c r="C27" s="125" t="s">
        <v>160</v>
      </c>
      <c r="D27" s="119" t="s">
        <v>161</v>
      </c>
      <c r="E27" s="126">
        <f t="shared" ref="E27:H27" si="30">E26/E6</f>
        <v>-0.15597367565078582</v>
      </c>
      <c r="F27" s="126">
        <f t="shared" si="30"/>
        <v>2.0965919243188351E-2</v>
      </c>
      <c r="G27" s="126">
        <f t="shared" si="30"/>
        <v>2.0431894967416993E-2</v>
      </c>
      <c r="H27" s="126">
        <f t="shared" si="30"/>
        <v>1.1811936492948918E-2</v>
      </c>
      <c r="I27" s="126">
        <f t="shared" ref="I27:M27" si="31">I26/I6</f>
        <v>9.7500000000000052E-3</v>
      </c>
      <c r="J27" s="126">
        <f t="shared" si="31"/>
        <v>9.7499999999999983E-3</v>
      </c>
      <c r="K27" s="126">
        <f t="shared" si="31"/>
        <v>9.749999999999993E-3</v>
      </c>
      <c r="L27" s="126">
        <f t="shared" si="31"/>
        <v>9.7500000000000069E-3</v>
      </c>
      <c r="M27" s="126">
        <f t="shared" si="31"/>
        <v>9.7500000000000087E-3</v>
      </c>
    </row>
    <row r="28" spans="2:13" ht="15.75" customHeight="1" x14ac:dyDescent="0.25">
      <c r="D28" s="119"/>
      <c r="E28" s="126"/>
      <c r="F28" s="126"/>
      <c r="G28" s="126"/>
      <c r="H28" s="126"/>
    </row>
    <row r="29" spans="2:13" ht="15.75" customHeight="1" x14ac:dyDescent="0.25">
      <c r="B29" s="10"/>
      <c r="C29" s="10" t="s">
        <v>223</v>
      </c>
      <c r="D29" s="139"/>
      <c r="E29" s="123"/>
      <c r="F29" s="123"/>
      <c r="G29" s="123"/>
      <c r="H29" s="123"/>
      <c r="I29" s="10"/>
      <c r="J29" s="10"/>
      <c r="K29" s="10"/>
      <c r="L29" s="10"/>
      <c r="M29" s="10"/>
    </row>
    <row r="30" spans="2:13" ht="15.75" customHeight="1" x14ac:dyDescent="0.25">
      <c r="B30" s="127"/>
      <c r="C30" s="128" t="s">
        <v>165</v>
      </c>
      <c r="D30" s="129" t="s">
        <v>166</v>
      </c>
      <c r="E30" s="130">
        <f>'Balance Sheet'!D31</f>
        <v>55240.21</v>
      </c>
      <c r="F30" s="130">
        <f>'Balance Sheet'!E31</f>
        <v>56243.76</v>
      </c>
      <c r="G30" s="130">
        <f>'Balance Sheet'!F31</f>
        <v>59369.79</v>
      </c>
      <c r="H30" s="130">
        <f>'Balance Sheet'!G31</f>
        <v>59005.5</v>
      </c>
      <c r="I30" s="172">
        <f t="shared" ref="I30:M30" si="32">I32+I34</f>
        <v>61254.841020493157</v>
      </c>
      <c r="J30" s="172">
        <f t="shared" si="32"/>
        <v>64198.443502132606</v>
      </c>
      <c r="K30" s="172">
        <f t="shared" si="32"/>
        <v>66980.1478472819</v>
      </c>
      <c r="L30" s="172">
        <f t="shared" si="32"/>
        <v>69956.571496591627</v>
      </c>
      <c r="M30" s="172">
        <f t="shared" si="32"/>
        <v>72686.377186387137</v>
      </c>
    </row>
    <row r="31" spans="2:13" ht="15.75" customHeight="1" x14ac:dyDescent="0.25">
      <c r="C31" s="125" t="s">
        <v>224</v>
      </c>
      <c r="D31" s="119" t="s">
        <v>192</v>
      </c>
      <c r="E31" s="126"/>
      <c r="F31" s="126">
        <f t="shared" ref="F31:H31" si="33">F30/E30-1</f>
        <v>1.8167020002277434E-2</v>
      </c>
      <c r="G31" s="126">
        <f t="shared" si="33"/>
        <v>5.5580032344921371E-2</v>
      </c>
      <c r="H31" s="126">
        <f t="shared" si="33"/>
        <v>-6.1359489396880518E-3</v>
      </c>
      <c r="I31" s="126">
        <f t="shared" ref="I31:M31" si="34">I30/H30-1</f>
        <v>3.812087043569079E-2</v>
      </c>
      <c r="J31" s="126">
        <f t="shared" si="34"/>
        <v>4.8055017898987806E-2</v>
      </c>
      <c r="K31" s="126">
        <f t="shared" si="34"/>
        <v>4.3329778627061E-2</v>
      </c>
      <c r="L31" s="126">
        <f t="shared" si="34"/>
        <v>4.4437400408493088E-2</v>
      </c>
      <c r="M31" s="126">
        <f t="shared" si="34"/>
        <v>3.9021433317790732E-2</v>
      </c>
    </row>
    <row r="32" spans="2:13" ht="15.75" customHeight="1" x14ac:dyDescent="0.25">
      <c r="C32" s="4" t="s">
        <v>9</v>
      </c>
      <c r="D32" s="119" t="s">
        <v>225</v>
      </c>
      <c r="E32" s="124">
        <f>'Balance Sheet'!D19</f>
        <v>26896.85</v>
      </c>
      <c r="F32" s="124">
        <f>'Balance Sheet'!E19</f>
        <v>28381.78</v>
      </c>
      <c r="G32" s="124">
        <f>'Balance Sheet'!F19</f>
        <v>29287.51</v>
      </c>
      <c r="H32" s="124">
        <f>'Balance Sheet'!G19</f>
        <v>24459.81</v>
      </c>
      <c r="I32" s="126">
        <f t="shared" ref="I32:M32" si="35">H32*(1+I127)</f>
        <v>24459.81</v>
      </c>
      <c r="J32" s="126">
        <f t="shared" si="35"/>
        <v>24459.81</v>
      </c>
      <c r="K32" s="126">
        <f t="shared" si="35"/>
        <v>24459.81</v>
      </c>
      <c r="L32" s="126">
        <f t="shared" si="35"/>
        <v>24459.81</v>
      </c>
      <c r="M32" s="126">
        <f t="shared" si="35"/>
        <v>24459.81</v>
      </c>
    </row>
    <row r="33" spans="2:13" ht="15.75" customHeight="1" x14ac:dyDescent="0.25">
      <c r="C33" s="125" t="s">
        <v>226</v>
      </c>
      <c r="D33" s="119" t="s">
        <v>227</v>
      </c>
      <c r="E33" s="126">
        <f t="shared" ref="E33:H33" si="36">E32/E30</f>
        <v>0.48690709177246067</v>
      </c>
      <c r="F33" s="126">
        <f t="shared" si="36"/>
        <v>0.50462095706261456</v>
      </c>
      <c r="G33" s="126">
        <f t="shared" si="36"/>
        <v>0.49330661267287618</v>
      </c>
      <c r="H33" s="126">
        <f t="shared" si="36"/>
        <v>0.41453440780944151</v>
      </c>
      <c r="I33" s="126">
        <f t="shared" ref="I33:M33" si="37">I32/I30</f>
        <v>0.39931227626265214</v>
      </c>
      <c r="J33" s="126">
        <f t="shared" si="37"/>
        <v>0.38100316247055854</v>
      </c>
      <c r="K33" s="126">
        <f t="shared" si="37"/>
        <v>0.36517999416438429</v>
      </c>
      <c r="L33" s="126">
        <f t="shared" si="37"/>
        <v>0.34964277803682409</v>
      </c>
      <c r="M33" s="126">
        <f t="shared" si="37"/>
        <v>0.33651161258565088</v>
      </c>
    </row>
    <row r="34" spans="2:13" ht="15.75" customHeight="1" x14ac:dyDescent="0.25">
      <c r="C34" s="4" t="s">
        <v>22</v>
      </c>
      <c r="D34" s="119" t="s">
        <v>167</v>
      </c>
      <c r="E34" s="124">
        <f>'Balance Sheet'!D30</f>
        <v>28343.360000000001</v>
      </c>
      <c r="F34" s="124">
        <f>'Balance Sheet'!E30</f>
        <v>27861.98</v>
      </c>
      <c r="G34" s="124">
        <f>'Balance Sheet'!F30</f>
        <v>30082.28</v>
      </c>
      <c r="H34" s="124">
        <f>'Balance Sheet'!G30</f>
        <v>34545.69</v>
      </c>
      <c r="I34" s="126">
        <f t="shared" ref="I34:M34" si="38">I36+I59+I60+I6*($H$34-$H$36-$H$59-$H$60)/$H$6</f>
        <v>36795.031020493159</v>
      </c>
      <c r="J34" s="126">
        <f t="shared" si="38"/>
        <v>39738.633502132609</v>
      </c>
      <c r="K34" s="126">
        <f t="shared" si="38"/>
        <v>42520.337847281902</v>
      </c>
      <c r="L34" s="126">
        <f t="shared" si="38"/>
        <v>45496.761496591629</v>
      </c>
      <c r="M34" s="126">
        <f t="shared" si="38"/>
        <v>48226.567186387139</v>
      </c>
    </row>
    <row r="35" spans="2:13" ht="15.75" customHeight="1" x14ac:dyDescent="0.25">
      <c r="C35" s="125" t="s">
        <v>226</v>
      </c>
      <c r="D35" s="119" t="s">
        <v>228</v>
      </c>
      <c r="E35" s="126">
        <f t="shared" ref="E35:H35" si="39">E34/E30</f>
        <v>0.51309290822753939</v>
      </c>
      <c r="F35" s="126">
        <f t="shared" si="39"/>
        <v>0.49537904293738538</v>
      </c>
      <c r="G35" s="126">
        <f t="shared" si="39"/>
        <v>0.50669338732712377</v>
      </c>
      <c r="H35" s="126">
        <f t="shared" si="39"/>
        <v>0.58546559219055849</v>
      </c>
      <c r="I35" s="126">
        <f t="shared" ref="I35:M35" si="40">I34/I30</f>
        <v>0.60068772373734791</v>
      </c>
      <c r="J35" s="126">
        <f t="shared" si="40"/>
        <v>0.61899683752944157</v>
      </c>
      <c r="K35" s="126">
        <f t="shared" si="40"/>
        <v>0.63482000583561571</v>
      </c>
      <c r="L35" s="126">
        <f t="shared" si="40"/>
        <v>0.65035722196317591</v>
      </c>
      <c r="M35" s="126">
        <f t="shared" si="40"/>
        <v>0.66348838741434912</v>
      </c>
    </row>
    <row r="36" spans="2:13" ht="15.75" customHeight="1" x14ac:dyDescent="0.25">
      <c r="C36" s="4" t="s">
        <v>229</v>
      </c>
      <c r="D36" s="119" t="s">
        <v>230</v>
      </c>
      <c r="E36" s="126">
        <f>'Balance Sheet'!D24+'Balance Sheet'!D25</f>
        <v>6701.4500000000007</v>
      </c>
      <c r="F36" s="126">
        <f>'Balance Sheet'!E24+'Balance Sheet'!E25</f>
        <v>7153.69</v>
      </c>
      <c r="G36" s="126">
        <f>'Balance Sheet'!F24+'Balance Sheet'!F25</f>
        <v>6642.58</v>
      </c>
      <c r="H36" s="126">
        <f>'Balance Sheet'!G24+'Balance Sheet'!G25</f>
        <v>6157.47</v>
      </c>
      <c r="I36" s="126">
        <f t="shared" ref="I36:M36" si="41">I6*I125</f>
        <v>7225.1766720000014</v>
      </c>
      <c r="J36" s="126">
        <f t="shared" si="41"/>
        <v>7803.1908057600021</v>
      </c>
      <c r="K36" s="126">
        <f t="shared" si="41"/>
        <v>8349.4141621632025</v>
      </c>
      <c r="L36" s="126">
        <f t="shared" si="41"/>
        <v>8933.8731535146271</v>
      </c>
      <c r="M36" s="126">
        <f t="shared" si="41"/>
        <v>9469.9055427255062</v>
      </c>
    </row>
    <row r="37" spans="2:13" ht="15.75" customHeight="1" x14ac:dyDescent="0.25">
      <c r="C37" s="4" t="s">
        <v>170</v>
      </c>
      <c r="D37" s="119" t="s">
        <v>171</v>
      </c>
      <c r="E37" s="126">
        <f>'Balance Sheet'!D39+'Balance Sheet'!D49+'Balance Sheet'!D50</f>
        <v>4950.8899999999994</v>
      </c>
      <c r="F37" s="126">
        <f>'Balance Sheet'!E39+'Balance Sheet'!E49+'Balance Sheet'!E50</f>
        <v>4829.93</v>
      </c>
      <c r="G37" s="126">
        <f>'Balance Sheet'!F39+'Balance Sheet'!F49+'Balance Sheet'!F50</f>
        <v>5453.51</v>
      </c>
      <c r="H37" s="126">
        <f>'Balance Sheet'!G39+'Balance Sheet'!G49+'Balance Sheet'!G50</f>
        <v>8856.4599999999991</v>
      </c>
      <c r="I37" s="126">
        <f t="shared" ref="I37:M37" si="42">H37*(1+I126)</f>
        <v>8856.4599999999991</v>
      </c>
      <c r="J37" s="126">
        <f t="shared" si="42"/>
        <v>8856.4599999999991</v>
      </c>
      <c r="K37" s="126">
        <f t="shared" si="42"/>
        <v>8856.4599999999991</v>
      </c>
      <c r="L37" s="126">
        <f t="shared" si="42"/>
        <v>8856.4599999999991</v>
      </c>
      <c r="M37" s="126">
        <f t="shared" si="42"/>
        <v>8856.4599999999991</v>
      </c>
    </row>
    <row r="38" spans="2:13" ht="15.75" customHeight="1" x14ac:dyDescent="0.25">
      <c r="B38" s="131"/>
      <c r="C38" s="19" t="s">
        <v>172</v>
      </c>
      <c r="D38" s="132" t="s">
        <v>173</v>
      </c>
      <c r="E38" s="133">
        <f t="shared" ref="E38:H38" si="43">E36-E37</f>
        <v>1750.5600000000013</v>
      </c>
      <c r="F38" s="133">
        <f t="shared" si="43"/>
        <v>2323.7599999999993</v>
      </c>
      <c r="G38" s="133">
        <f t="shared" si="43"/>
        <v>1189.0699999999997</v>
      </c>
      <c r="H38" s="133">
        <f t="shared" si="43"/>
        <v>-2698.9899999999989</v>
      </c>
      <c r="I38" s="172">
        <f t="shared" ref="I38:M38" si="44">I36-I37</f>
        <v>-1631.2833279999977</v>
      </c>
      <c r="J38" s="172">
        <f t="shared" si="44"/>
        <v>-1053.269194239997</v>
      </c>
      <c r="K38" s="172">
        <f t="shared" si="44"/>
        <v>-507.04583783679664</v>
      </c>
      <c r="L38" s="172">
        <f t="shared" si="44"/>
        <v>77.413153514627993</v>
      </c>
      <c r="M38" s="172">
        <f t="shared" si="44"/>
        <v>613.44554272550704</v>
      </c>
    </row>
    <row r="39" spans="2:13" ht="15.75" customHeight="1" x14ac:dyDescent="0.25">
      <c r="C39" s="4" t="s">
        <v>58</v>
      </c>
      <c r="D39" s="119" t="s">
        <v>231</v>
      </c>
      <c r="E39" s="124">
        <f>'Balance Sheet'!D58</f>
        <v>29268.21</v>
      </c>
      <c r="F39" s="124">
        <f>'Balance Sheet'!E58</f>
        <v>29737.16</v>
      </c>
      <c r="G39" s="124">
        <f>'Balance Sheet'!F58</f>
        <v>32541.75</v>
      </c>
      <c r="H39" s="124">
        <f>'Balance Sheet'!G58</f>
        <v>34566.839999999997</v>
      </c>
      <c r="I39" s="126">
        <f t="shared" ref="I39:M39" si="45">I30-I40</f>
        <v>36564.600047093154</v>
      </c>
      <c r="J39" s="126">
        <f t="shared" si="45"/>
        <v>39236.484277460608</v>
      </c>
      <c r="K39" s="126">
        <f t="shared" si="45"/>
        <v>41727.450093748863</v>
      </c>
      <c r="L39" s="126">
        <f t="shared" si="45"/>
        <v>44392.783517177275</v>
      </c>
      <c r="M39" s="126">
        <f t="shared" si="45"/>
        <v>46792.83356753859</v>
      </c>
    </row>
    <row r="40" spans="2:13" ht="15.75" customHeight="1" x14ac:dyDescent="0.25">
      <c r="B40" s="127"/>
      <c r="C40" s="128" t="s">
        <v>37</v>
      </c>
      <c r="D40" s="129" t="s">
        <v>174</v>
      </c>
      <c r="E40" s="130">
        <f>'Balance Sheet'!D36</f>
        <v>25972</v>
      </c>
      <c r="F40" s="130">
        <f>'Balance Sheet'!E36</f>
        <v>26506.6</v>
      </c>
      <c r="G40" s="130">
        <f>'Balance Sheet'!F36</f>
        <v>26828.03</v>
      </c>
      <c r="H40" s="130">
        <f>'Balance Sheet'!G36</f>
        <v>24438.65</v>
      </c>
      <c r="I40" s="172">
        <f t="shared" ref="I40:M40" si="46">H40+I26</f>
        <v>24690.240973400003</v>
      </c>
      <c r="J40" s="172">
        <f t="shared" si="46"/>
        <v>24961.959224672002</v>
      </c>
      <c r="K40" s="172">
        <f t="shared" si="46"/>
        <v>25252.697753533041</v>
      </c>
      <c r="L40" s="172">
        <f t="shared" si="46"/>
        <v>25563.787979414356</v>
      </c>
      <c r="M40" s="172">
        <f t="shared" si="46"/>
        <v>25893.543618848547</v>
      </c>
    </row>
    <row r="41" spans="2:13" ht="15.75" customHeight="1" x14ac:dyDescent="0.25">
      <c r="C41" s="125" t="s">
        <v>232</v>
      </c>
      <c r="D41" s="119" t="s">
        <v>192</v>
      </c>
      <c r="E41" s="126"/>
      <c r="F41" s="126">
        <f t="shared" ref="F41:H41" si="47">F40/E40-1</f>
        <v>2.0583705529031215E-2</v>
      </c>
      <c r="G41" s="126">
        <f t="shared" si="47"/>
        <v>1.2126413798827507E-2</v>
      </c>
      <c r="H41" s="126">
        <f t="shared" si="47"/>
        <v>-8.906281974487118E-2</v>
      </c>
      <c r="I41" s="126">
        <f t="shared" ref="I41:M41" si="48">I40/H40-1</f>
        <v>1.0294798337878719E-2</v>
      </c>
      <c r="J41" s="126">
        <f t="shared" si="48"/>
        <v>1.1005087053007401E-2</v>
      </c>
      <c r="K41" s="126">
        <f t="shared" si="48"/>
        <v>1.1647263992550672E-2</v>
      </c>
      <c r="L41" s="126">
        <f t="shared" si="48"/>
        <v>1.2319088792712929E-2</v>
      </c>
      <c r="M41" s="126">
        <f t="shared" si="48"/>
        <v>1.2899326175750403E-2</v>
      </c>
    </row>
    <row r="42" spans="2:13" ht="15.75" customHeight="1" x14ac:dyDescent="0.25">
      <c r="B42" s="131"/>
      <c r="C42" s="19" t="s">
        <v>233</v>
      </c>
      <c r="D42" s="132" t="s">
        <v>234</v>
      </c>
      <c r="E42" s="133">
        <f>E34-'Balance Sheet'!D57</f>
        <v>7986.1500000000015</v>
      </c>
      <c r="F42" s="133">
        <f>F34-'Balance Sheet'!E57</f>
        <v>6490.8299999999981</v>
      </c>
      <c r="G42" s="133">
        <f>G34-'Balance Sheet'!F57</f>
        <v>6730.84</v>
      </c>
      <c r="H42" s="133">
        <f>H34-'Balance Sheet'!G57</f>
        <v>9212.8900000000031</v>
      </c>
      <c r="I42" s="172">
        <f>I34-I6*'Balance Sheet'!$G$57/$H$6</f>
        <v>9435.6070204931566</v>
      </c>
      <c r="J42" s="172">
        <f>J34-J6*'Balance Sheet'!$G$57/$H$6</f>
        <v>10190.455582132603</v>
      </c>
      <c r="K42" s="172">
        <f>K34-K6*'Balance Sheet'!$G$57/$H$6</f>
        <v>10903.787472881897</v>
      </c>
      <c r="L42" s="172">
        <f>L34-L6*'Balance Sheet'!$G$57/$H$6</f>
        <v>11667.052595983616</v>
      </c>
      <c r="M42" s="172">
        <f>M34-M6*'Balance Sheet'!$G$57/$H$6</f>
        <v>12367.075751742646</v>
      </c>
    </row>
    <row r="43" spans="2:13" ht="15.75" customHeight="1" x14ac:dyDescent="0.25">
      <c r="B43" s="140"/>
      <c r="C43" s="141" t="s">
        <v>235</v>
      </c>
      <c r="D43" s="142" t="s">
        <v>236</v>
      </c>
      <c r="E43" s="143">
        <f>E30-'Balance Sheet'!D57</f>
        <v>34883</v>
      </c>
      <c r="F43" s="143">
        <f>F30-'Balance Sheet'!E57</f>
        <v>34872.61</v>
      </c>
      <c r="G43" s="143">
        <f>G30-'Balance Sheet'!F57</f>
        <v>36018.350000000006</v>
      </c>
      <c r="H43" s="143">
        <f>H30-'Balance Sheet'!G57</f>
        <v>33672.699999999997</v>
      </c>
      <c r="I43" s="172">
        <f>I30-I6*'Balance Sheet'!$G$57/$H$6</f>
        <v>33895.417020493158</v>
      </c>
      <c r="J43" s="172">
        <f>J30-J6*'Balance Sheet'!$G$57/$H$6</f>
        <v>34650.265582132604</v>
      </c>
      <c r="K43" s="172">
        <f>K30-K6*'Balance Sheet'!$G$57/$H$6</f>
        <v>35363.597472881898</v>
      </c>
      <c r="L43" s="172">
        <f>L30-L6*'Balance Sheet'!$G$57/$H$6</f>
        <v>36126.862595983614</v>
      </c>
      <c r="M43" s="172">
        <f>M30-M6*'Balance Sheet'!$G$57/$H$6</f>
        <v>36826.885751742644</v>
      </c>
    </row>
    <row r="44" spans="2:13" ht="15.75" customHeight="1" x14ac:dyDescent="0.25">
      <c r="D44" s="119"/>
      <c r="E44" s="126"/>
      <c r="F44" s="126"/>
      <c r="G44" s="126"/>
      <c r="H44" s="126"/>
    </row>
    <row r="45" spans="2:13" ht="15.75" customHeight="1" x14ac:dyDescent="0.25">
      <c r="B45" s="10"/>
      <c r="C45" s="10" t="s">
        <v>237</v>
      </c>
      <c r="D45" s="139"/>
      <c r="E45" s="123"/>
      <c r="F45" s="123"/>
      <c r="G45" s="123"/>
      <c r="H45" s="123"/>
      <c r="I45" s="10"/>
      <c r="J45" s="10"/>
      <c r="K45" s="10"/>
      <c r="L45" s="10"/>
      <c r="M45" s="10"/>
    </row>
    <row r="46" spans="2:13" ht="15.75" customHeight="1" x14ac:dyDescent="0.25">
      <c r="C46" s="4" t="s">
        <v>168</v>
      </c>
      <c r="D46" s="119" t="s">
        <v>238</v>
      </c>
      <c r="E46" s="126">
        <f>E34/'Balance Sheet'!D57</f>
        <v>1.3923008113587276</v>
      </c>
      <c r="F46" s="126">
        <f>F34/'Balance Sheet'!E57</f>
        <v>1.3037192663941808</v>
      </c>
      <c r="G46" s="126">
        <f>G34/'Balance Sheet'!F57</f>
        <v>1.2882408964928929</v>
      </c>
      <c r="H46" s="126">
        <f>H34/'Balance Sheet'!G57</f>
        <v>1.3636743668287754</v>
      </c>
      <c r="I46" s="126">
        <f>I34/(I6*'Balance Sheet'!$G$57/$H$6)</f>
        <v>1.344875938195671</v>
      </c>
      <c r="J46" s="126">
        <f>J34/(J6*'Balance Sheet'!$G$57/$H$6)</f>
        <v>1.3448759381956708</v>
      </c>
      <c r="K46" s="126">
        <f>K34/(K6*'Balance Sheet'!$G$57/$H$6)</f>
        <v>1.344875938195671</v>
      </c>
      <c r="L46" s="126">
        <f>L34/(L6*'Balance Sheet'!$G$57/$H$6)</f>
        <v>1.3448759381956705</v>
      </c>
      <c r="M46" s="126">
        <f>M34/(M6*'Balance Sheet'!$G$57/$H$6)</f>
        <v>1.344875938195671</v>
      </c>
    </row>
    <row r="47" spans="2:13" ht="15.75" customHeight="1" x14ac:dyDescent="0.25">
      <c r="C47" s="4" t="s">
        <v>239</v>
      </c>
      <c r="D47" s="119" t="s">
        <v>240</v>
      </c>
      <c r="E47" s="126">
        <f>(E34-'Balance Sheet'!D21)/'Balance Sheet'!D57</f>
        <v>1.0388903980457047</v>
      </c>
      <c r="F47" s="126">
        <f>(F34-'Balance Sheet'!E21)/'Balance Sheet'!E57</f>
        <v>0.99675356730919951</v>
      </c>
      <c r="G47" s="126">
        <f>(G34-'Balance Sheet'!F21)/'Balance Sheet'!F57</f>
        <v>0.9989268327777644</v>
      </c>
      <c r="H47" s="126">
        <f>(H34-'Balance Sheet'!G21)/'Balance Sheet'!G57</f>
        <v>1.0786458662287628</v>
      </c>
      <c r="I47" s="126">
        <f>(I34-I60)/(I6*'Balance Sheet'!$G$57/$H$6)</f>
        <v>1.0606371712367701</v>
      </c>
      <c r="J47" s="126">
        <f>(J34-J60)/(J6*'Balance Sheet'!$G$57/$H$6)</f>
        <v>1.0606371712367701</v>
      </c>
      <c r="K47" s="126">
        <f>(K34-K60)/(K6*'Balance Sheet'!$G$57/$H$6)</f>
        <v>1.0606371712367704</v>
      </c>
      <c r="L47" s="126">
        <f>(L34-L60)/(L6*'Balance Sheet'!$G$57/$H$6)</f>
        <v>1.0606371712367699</v>
      </c>
      <c r="M47" s="126">
        <f>(M34-M60)/(M6*'Balance Sheet'!$G$57/$H$6)</f>
        <v>1.0606371712367704</v>
      </c>
    </row>
    <row r="48" spans="2:13" ht="15.75" customHeight="1" x14ac:dyDescent="0.25">
      <c r="C48" s="4" t="s">
        <v>185</v>
      </c>
      <c r="D48" s="119" t="s">
        <v>241</v>
      </c>
      <c r="E48" s="126">
        <f>E36/'Balance Sheet'!D57</f>
        <v>0.32919294932851806</v>
      </c>
      <c r="F48" s="126">
        <f>F36/'Balance Sheet'!E57</f>
        <v>0.33473584715843552</v>
      </c>
      <c r="G48" s="126">
        <f>G36/'Balance Sheet'!F57</f>
        <v>0.28446125806374256</v>
      </c>
      <c r="H48" s="126">
        <f>H36/'Balance Sheet'!G57</f>
        <v>0.24306314343459864</v>
      </c>
      <c r="I48" s="126">
        <f>I36/(I6*'Balance Sheet'!$G$57/$H$6)</f>
        <v>0.26408365439272408</v>
      </c>
      <c r="J48" s="126">
        <f>J36/(J6*'Balance Sheet'!$G$57/$H$6)</f>
        <v>0.26408365439272408</v>
      </c>
      <c r="K48" s="126">
        <f>K36/(K6*'Balance Sheet'!$G$57/$H$6)</f>
        <v>0.26408365439272408</v>
      </c>
      <c r="L48" s="126">
        <f>L36/(L6*'Balance Sheet'!$G$57/$H$6)</f>
        <v>0.26408365439272402</v>
      </c>
      <c r="M48" s="126">
        <f>M36/(M6*'Balance Sheet'!$G$57/$H$6)</f>
        <v>0.26408365439272408</v>
      </c>
    </row>
    <row r="49" spans="2:13" ht="15.75" customHeight="1" x14ac:dyDescent="0.25">
      <c r="C49" s="4" t="s">
        <v>242</v>
      </c>
      <c r="D49" s="119" t="s">
        <v>243</v>
      </c>
      <c r="E49" s="126">
        <f>'Cash Flow'!D32/'Balance Sheet'!D57</f>
        <v>2.7506225067187501E-2</v>
      </c>
      <c r="F49" s="126">
        <f>'Cash Flow'!E32/'Balance Sheet'!E57</f>
        <v>3.0894453503905964E-2</v>
      </c>
      <c r="G49" s="126">
        <f>'Cash Flow'!F32/'Balance Sheet'!F57</f>
        <v>-3.1754786856827671E-2</v>
      </c>
      <c r="H49" s="126">
        <f>'Cash Flow'!G32/'Balance Sheet'!G57</f>
        <v>-0.14656492768268806</v>
      </c>
      <c r="I49" s="126">
        <f>I81/(I6*'Balance Sheet'!$G$57/$H$6)</f>
        <v>6.9133434392398316E-2</v>
      </c>
      <c r="J49" s="126">
        <f>J81/(J6*'Balance Sheet'!$G$57/$H$6)</f>
        <v>1.5154256852715764E-2</v>
      </c>
      <c r="K49" s="126">
        <f>K81/(K6*'Balance Sheet'!$G$57/$H$6)</f>
        <v>1.5780353132873171E-2</v>
      </c>
      <c r="L49" s="126">
        <f>L81/(L6*'Balance Sheet'!$G$57/$H$6)</f>
        <v>1.5780353132873196E-2</v>
      </c>
      <c r="M49" s="126">
        <f>M81/(M6*'Balance Sheet'!$G$57/$H$6)</f>
        <v>1.6418262550392068E-2</v>
      </c>
    </row>
    <row r="50" spans="2:13" ht="15.75" customHeight="1" x14ac:dyDescent="0.25">
      <c r="D50" s="119"/>
      <c r="E50" s="126"/>
      <c r="F50" s="126"/>
      <c r="G50" s="126"/>
      <c r="H50" s="126"/>
    </row>
    <row r="51" spans="2:13" ht="15.75" customHeight="1" x14ac:dyDescent="0.25">
      <c r="B51" s="10"/>
      <c r="C51" s="10" t="s">
        <v>244</v>
      </c>
      <c r="D51" s="139"/>
      <c r="E51" s="123"/>
      <c r="F51" s="123"/>
      <c r="G51" s="123"/>
      <c r="H51" s="123"/>
      <c r="I51" s="10"/>
      <c r="J51" s="10"/>
      <c r="K51" s="10"/>
      <c r="L51" s="10"/>
      <c r="M51" s="10"/>
    </row>
    <row r="52" spans="2:13" ht="15.75" customHeight="1" x14ac:dyDescent="0.25">
      <c r="C52" s="4" t="s">
        <v>177</v>
      </c>
      <c r="D52" s="119" t="s">
        <v>178</v>
      </c>
      <c r="E52" s="126">
        <f t="shared" ref="E52:H52" si="49">E37/E40</f>
        <v>0.1906241336824272</v>
      </c>
      <c r="F52" s="126">
        <f t="shared" si="49"/>
        <v>0.18221612730414313</v>
      </c>
      <c r="G52" s="126">
        <f t="shared" si="49"/>
        <v>0.20327657304692145</v>
      </c>
      <c r="H52" s="126">
        <f t="shared" si="49"/>
        <v>0.36239563150992377</v>
      </c>
      <c r="I52" s="126">
        <f t="shared" ref="I52:M52" si="50">I37/I40</f>
        <v>0.35870285792437157</v>
      </c>
      <c r="J52" s="126">
        <f t="shared" si="50"/>
        <v>0.35479827205415893</v>
      </c>
      <c r="K52" s="126">
        <f t="shared" si="50"/>
        <v>0.35071342026262975</v>
      </c>
      <c r="L52" s="126">
        <f t="shared" si="50"/>
        <v>0.34644552705302528</v>
      </c>
      <c r="M52" s="126">
        <f t="shared" si="50"/>
        <v>0.34203352505035906</v>
      </c>
    </row>
    <row r="53" spans="2:13" ht="15.75" customHeight="1" x14ac:dyDescent="0.25">
      <c r="C53" s="4" t="s">
        <v>245</v>
      </c>
      <c r="D53" s="119" t="s">
        <v>246</v>
      </c>
      <c r="E53" s="126">
        <f t="shared" ref="E53:H53" si="51">E37/E30</f>
        <v>8.9624749797294387E-2</v>
      </c>
      <c r="F53" s="126">
        <f t="shared" si="51"/>
        <v>8.587494861652209E-2</v>
      </c>
      <c r="G53" s="126">
        <f t="shared" si="51"/>
        <v>9.1856649652963238E-2</v>
      </c>
      <c r="H53" s="126">
        <f t="shared" si="51"/>
        <v>0.15009549957207377</v>
      </c>
      <c r="I53" s="126">
        <f t="shared" ref="I53:M53" si="52">I37/I30</f>
        <v>0.14458383782331619</v>
      </c>
      <c r="J53" s="126">
        <f t="shared" si="52"/>
        <v>0.13795443498105678</v>
      </c>
      <c r="K53" s="126">
        <f t="shared" si="52"/>
        <v>0.13222514856481316</v>
      </c>
      <c r="L53" s="126">
        <f t="shared" si="52"/>
        <v>0.12659940032126213</v>
      </c>
      <c r="M53" s="126">
        <f t="shared" si="52"/>
        <v>0.12184484002125581</v>
      </c>
    </row>
    <row r="54" spans="2:13" ht="15.75" customHeight="1" x14ac:dyDescent="0.25">
      <c r="C54" s="4" t="s">
        <v>247</v>
      </c>
      <c r="D54" s="119" t="s">
        <v>248</v>
      </c>
      <c r="E54" s="126">
        <f t="shared" ref="E54:H54" si="53">E30/E40</f>
        <v>2.1269139842907747</v>
      </c>
      <c r="F54" s="126">
        <f t="shared" si="53"/>
        <v>2.1218775701146133</v>
      </c>
      <c r="G54" s="126">
        <f t="shared" si="53"/>
        <v>2.2129761298164645</v>
      </c>
      <c r="H54" s="126">
        <f t="shared" si="53"/>
        <v>2.4144336941688676</v>
      </c>
      <c r="I54" s="126">
        <f t="shared" ref="I54:M54" si="54">I30/I40</f>
        <v>2.4809333001847156</v>
      </c>
      <c r="J54" s="126">
        <f t="shared" si="54"/>
        <v>2.5718511485540723</v>
      </c>
      <c r="K54" s="126">
        <f t="shared" si="54"/>
        <v>2.6523957361312367</v>
      </c>
      <c r="L54" s="126">
        <f t="shared" si="54"/>
        <v>2.7365495110867473</v>
      </c>
      <c r="M54" s="126">
        <f t="shared" si="54"/>
        <v>2.8071235925189062</v>
      </c>
    </row>
    <row r="55" spans="2:13" ht="15.75" customHeight="1" x14ac:dyDescent="0.25">
      <c r="C55" s="4" t="s">
        <v>249</v>
      </c>
      <c r="D55" s="119" t="s">
        <v>250</v>
      </c>
      <c r="E55" s="126">
        <f t="shared" ref="E55:H55" si="55">E19/E21</f>
        <v>-8.6160716673352056</v>
      </c>
      <c r="F55" s="126">
        <f t="shared" si="55"/>
        <v>2.321665355657939</v>
      </c>
      <c r="G55" s="126">
        <f t="shared" si="55"/>
        <v>1.9194714535028672</v>
      </c>
      <c r="H55" s="126">
        <f t="shared" si="55"/>
        <v>1.3318245839543819</v>
      </c>
      <c r="I55" s="126">
        <f t="shared" ref="I55:M55" si="56">I19/I21</f>
        <v>1.5200000000000002</v>
      </c>
      <c r="J55" s="126">
        <f t="shared" si="56"/>
        <v>1.5199999999999998</v>
      </c>
      <c r="K55" s="126">
        <f t="shared" si="56"/>
        <v>1.5199999999999996</v>
      </c>
      <c r="L55" s="126">
        <f t="shared" si="56"/>
        <v>1.5200000000000005</v>
      </c>
      <c r="M55" s="126">
        <f t="shared" si="56"/>
        <v>1.5200000000000005</v>
      </c>
    </row>
    <row r="56" spans="2:13" ht="15.75" customHeight="1" x14ac:dyDescent="0.25">
      <c r="C56" s="4" t="s">
        <v>251</v>
      </c>
      <c r="D56" s="119" t="s">
        <v>252</v>
      </c>
      <c r="E56" s="126">
        <f t="shared" ref="E56:H56" si="57">E37/E16</f>
        <v>-1.8011554426953535</v>
      </c>
      <c r="F56" s="126">
        <f t="shared" si="57"/>
        <v>4.23477475581742</v>
      </c>
      <c r="G56" s="126">
        <f t="shared" si="57"/>
        <v>4.3240300980804154</v>
      </c>
      <c r="H56" s="126">
        <f t="shared" si="57"/>
        <v>7.2424745471644112</v>
      </c>
      <c r="I56" s="126">
        <f t="shared" ref="I56:M56" si="58">I37/I16</f>
        <v>6.8643547765692583</v>
      </c>
      <c r="J56" s="126">
        <f t="shared" si="58"/>
        <v>6.3558840523789444</v>
      </c>
      <c r="K56" s="126">
        <f t="shared" si="58"/>
        <v>5.9400785536251819</v>
      </c>
      <c r="L56" s="126">
        <f t="shared" si="58"/>
        <v>5.5514752837618495</v>
      </c>
      <c r="M56" s="126">
        <f t="shared" si="58"/>
        <v>5.2372408337375935</v>
      </c>
    </row>
    <row r="58" spans="2:13" ht="15.75" customHeight="1" x14ac:dyDescent="0.25">
      <c r="B58" s="10"/>
      <c r="C58" s="10" t="s">
        <v>253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spans="2:13" ht="15.75" customHeight="1" x14ac:dyDescent="0.25">
      <c r="C59" s="4" t="s">
        <v>24</v>
      </c>
      <c r="D59" s="119" t="s">
        <v>179</v>
      </c>
      <c r="E59" s="144">
        <f>'Balance Sheet'!D23</f>
        <v>4035.07</v>
      </c>
      <c r="F59" s="144">
        <f>'Balance Sheet'!E23</f>
        <v>3024.75</v>
      </c>
      <c r="G59" s="144">
        <f>'Balance Sheet'!F23</f>
        <v>3128.35</v>
      </c>
      <c r="H59" s="144">
        <f>'Balance Sheet'!G23</f>
        <v>4785.38</v>
      </c>
      <c r="I59" s="126">
        <f t="shared" ref="I59:M59" si="59">I120/365*I6</f>
        <v>4100.3938060273977</v>
      </c>
      <c r="J59" s="126">
        <f t="shared" si="59"/>
        <v>4428.4253105095904</v>
      </c>
      <c r="K59" s="126">
        <f t="shared" si="59"/>
        <v>4738.4150822452621</v>
      </c>
      <c r="L59" s="126">
        <f t="shared" si="59"/>
        <v>5070.1041380024308</v>
      </c>
      <c r="M59" s="126">
        <f t="shared" si="59"/>
        <v>5374.3103862825774</v>
      </c>
    </row>
    <row r="60" spans="2:13" ht="15.75" customHeight="1" x14ac:dyDescent="0.25">
      <c r="C60" s="4" t="s">
        <v>23</v>
      </c>
      <c r="D60" s="119" t="s">
        <v>180</v>
      </c>
      <c r="E60" s="144">
        <f>'Balance Sheet'!D21</f>
        <v>7194.45</v>
      </c>
      <c r="F60" s="144">
        <f>'Balance Sheet'!E21</f>
        <v>6560.21</v>
      </c>
      <c r="G60" s="144">
        <f>'Balance Sheet'!F21</f>
        <v>6755.9</v>
      </c>
      <c r="H60" s="144">
        <f>'Balance Sheet'!G21</f>
        <v>7220.57</v>
      </c>
      <c r="I60" s="126">
        <f t="shared" ref="I60:M60" si="60">I121/365*I6</f>
        <v>7776.6089424657539</v>
      </c>
      <c r="J60" s="126">
        <f t="shared" si="60"/>
        <v>8398.7376578630137</v>
      </c>
      <c r="K60" s="126">
        <f t="shared" si="60"/>
        <v>8986.6492939134259</v>
      </c>
      <c r="L60" s="126">
        <f t="shared" si="60"/>
        <v>9615.7147444873663</v>
      </c>
      <c r="M60" s="126">
        <f t="shared" si="60"/>
        <v>10192.657629156611</v>
      </c>
    </row>
    <row r="61" spans="2:13" ht="15.75" customHeight="1" x14ac:dyDescent="0.25">
      <c r="C61" s="4" t="s">
        <v>254</v>
      </c>
      <c r="D61" s="119" t="s">
        <v>255</v>
      </c>
      <c r="E61" s="144">
        <f>'Balance Sheet'!D51+'Balance Sheet'!D52</f>
        <v>6680.83</v>
      </c>
      <c r="F61" s="144">
        <f>'Balance Sheet'!E51+'Balance Sheet'!E52</f>
        <v>7749.59</v>
      </c>
      <c r="G61" s="144">
        <f>'Balance Sheet'!F51+'Balance Sheet'!F52</f>
        <v>9895.83</v>
      </c>
      <c r="H61" s="144">
        <f>'Balance Sheet'!G51+'Balance Sheet'!G52</f>
        <v>8696.24</v>
      </c>
      <c r="I61" s="126">
        <f t="shared" ref="I61:M61" si="61">I122/365*I6</f>
        <v>9897.5022904109592</v>
      </c>
      <c r="J61" s="126">
        <f t="shared" si="61"/>
        <v>10689.302473643836</v>
      </c>
      <c r="K61" s="126">
        <f t="shared" si="61"/>
        <v>11437.553646798906</v>
      </c>
      <c r="L61" s="126">
        <f t="shared" si="61"/>
        <v>12238.18240207483</v>
      </c>
      <c r="M61" s="126">
        <f t="shared" si="61"/>
        <v>12972.473346199322</v>
      </c>
    </row>
    <row r="62" spans="2:13" ht="15.75" customHeight="1" x14ac:dyDescent="0.25">
      <c r="C62" s="4" t="s">
        <v>256</v>
      </c>
      <c r="D62" s="119" t="s">
        <v>257</v>
      </c>
      <c r="E62" s="4">
        <f t="shared" ref="E62:H62" si="62">E59/E6*365</f>
        <v>85.090237909396961</v>
      </c>
      <c r="F62" s="4">
        <f t="shared" si="62"/>
        <v>52.049835722728055</v>
      </c>
      <c r="G62" s="4">
        <f t="shared" si="62"/>
        <v>48.870134055555035</v>
      </c>
      <c r="H62" s="4">
        <f t="shared" si="62"/>
        <v>73.104247391889942</v>
      </c>
      <c r="I62" s="126">
        <f t="shared" ref="I62:M62" si="63">I59/I6*365</f>
        <v>58.000000000000007</v>
      </c>
      <c r="J62" s="126">
        <f t="shared" si="63"/>
        <v>58.000000000000007</v>
      </c>
      <c r="K62" s="126">
        <f t="shared" si="63"/>
        <v>58.000000000000007</v>
      </c>
      <c r="L62" s="126">
        <f t="shared" si="63"/>
        <v>58.000000000000007</v>
      </c>
      <c r="M62" s="126">
        <f t="shared" si="63"/>
        <v>58.000000000000007</v>
      </c>
    </row>
    <row r="63" spans="2:13" ht="15.75" customHeight="1" x14ac:dyDescent="0.25">
      <c r="C63" s="4" t="s">
        <v>258</v>
      </c>
      <c r="D63" s="119" t="s">
        <v>259</v>
      </c>
      <c r="E63" s="4">
        <f t="shared" ref="E63:H63" si="64">E60/E6*365</f>
        <v>151.71421118524859</v>
      </c>
      <c r="F63" s="4">
        <f t="shared" si="64"/>
        <v>112.88795861033073</v>
      </c>
      <c r="G63" s="4">
        <f t="shared" si="64"/>
        <v>105.53861897355611</v>
      </c>
      <c r="H63" s="4">
        <f t="shared" si="64"/>
        <v>110.30562579992784</v>
      </c>
      <c r="I63" s="126">
        <f t="shared" ref="I63:M63" si="65">I60/I6*365</f>
        <v>110</v>
      </c>
      <c r="J63" s="126">
        <f t="shared" si="65"/>
        <v>109.99999999999997</v>
      </c>
      <c r="K63" s="126">
        <f t="shared" si="65"/>
        <v>110</v>
      </c>
      <c r="L63" s="126">
        <f t="shared" si="65"/>
        <v>110</v>
      </c>
      <c r="M63" s="126">
        <f t="shared" si="65"/>
        <v>110</v>
      </c>
    </row>
    <row r="64" spans="2:13" ht="15.75" customHeight="1" x14ac:dyDescent="0.25">
      <c r="C64" s="4" t="s">
        <v>260</v>
      </c>
      <c r="D64" s="119" t="s">
        <v>261</v>
      </c>
      <c r="E64" s="4">
        <f t="shared" ref="E64:H64" si="66">E61/E6*365</f>
        <v>140.88316042404134</v>
      </c>
      <c r="F64" s="4">
        <f t="shared" si="66"/>
        <v>133.35478516191296</v>
      </c>
      <c r="G64" s="4">
        <f t="shared" si="66"/>
        <v>154.58965227387702</v>
      </c>
      <c r="H64" s="4">
        <f t="shared" si="66"/>
        <v>132.84881876449705</v>
      </c>
      <c r="I64" s="126">
        <f t="shared" ref="I64:M64" si="67">I61/I6*365</f>
        <v>140</v>
      </c>
      <c r="J64" s="126">
        <f t="shared" si="67"/>
        <v>140</v>
      </c>
      <c r="K64" s="126">
        <f t="shared" si="67"/>
        <v>140</v>
      </c>
      <c r="L64" s="126">
        <f t="shared" si="67"/>
        <v>140</v>
      </c>
      <c r="M64" s="126">
        <f t="shared" si="67"/>
        <v>140</v>
      </c>
    </row>
    <row r="65" spans="2:13" ht="15.75" customHeight="1" x14ac:dyDescent="0.25">
      <c r="B65" s="131"/>
      <c r="C65" s="19" t="s">
        <v>262</v>
      </c>
      <c r="D65" s="132" t="s">
        <v>263</v>
      </c>
      <c r="E65" s="19">
        <f t="shared" ref="E65:H65" si="68">E62+E63-E64</f>
        <v>95.921288670604213</v>
      </c>
      <c r="F65" s="19">
        <f t="shared" si="68"/>
        <v>31.583009171145818</v>
      </c>
      <c r="G65" s="19">
        <f t="shared" si="68"/>
        <v>-0.18089924476586816</v>
      </c>
      <c r="H65" s="19">
        <f t="shared" si="68"/>
        <v>50.561054427320727</v>
      </c>
      <c r="I65" s="172">
        <f t="shared" ref="I65:M65" si="69">I62+I63-I64</f>
        <v>28</v>
      </c>
      <c r="J65" s="172">
        <f t="shared" si="69"/>
        <v>27.999999999999972</v>
      </c>
      <c r="K65" s="172">
        <f t="shared" si="69"/>
        <v>28</v>
      </c>
      <c r="L65" s="172">
        <f t="shared" si="69"/>
        <v>28</v>
      </c>
      <c r="M65" s="172">
        <f t="shared" si="69"/>
        <v>28</v>
      </c>
    </row>
    <row r="66" spans="2:13" ht="15.75" customHeight="1" x14ac:dyDescent="0.25">
      <c r="C66" s="4" t="s">
        <v>264</v>
      </c>
      <c r="D66" s="119" t="s">
        <v>265</v>
      </c>
      <c r="E66" s="4">
        <f>E6/E30</f>
        <v>0.31333497827035778</v>
      </c>
      <c r="F66" s="4">
        <f t="shared" ref="F66:H66" si="70">F6/((E30+F30)/2)</f>
        <v>0.38052268859819038</v>
      </c>
      <c r="G66" s="4">
        <f t="shared" si="70"/>
        <v>0.40419033928116554</v>
      </c>
      <c r="H66" s="4">
        <f t="shared" si="70"/>
        <v>0.40367850418782497</v>
      </c>
      <c r="I66" s="126">
        <f t="shared" ref="I66:M66" si="71">I6/((H30+I30)/2)</f>
        <v>0.42913901924829556</v>
      </c>
      <c r="J66" s="126">
        <f t="shared" si="71"/>
        <v>0.44428551548961409</v>
      </c>
      <c r="K66" s="126">
        <f t="shared" si="71"/>
        <v>0.4546372389990313</v>
      </c>
      <c r="L66" s="126">
        <f t="shared" si="71"/>
        <v>0.46600634200761287</v>
      </c>
      <c r="M66" s="126">
        <f t="shared" si="71"/>
        <v>0.47420628269801679</v>
      </c>
    </row>
    <row r="67" spans="2:13" ht="15.75" customHeight="1" x14ac:dyDescent="0.25">
      <c r="C67" s="4" t="s">
        <v>266</v>
      </c>
      <c r="D67" s="119" t="s">
        <v>267</v>
      </c>
      <c r="E67" s="4">
        <f>E6/'Balance Sheet'!D7</f>
        <v>7.1259088176930225</v>
      </c>
      <c r="F67" s="4">
        <f>F6/'Balance Sheet'!E7</f>
        <v>9.0787685011599333</v>
      </c>
      <c r="G67" s="4">
        <f>G6/'Balance Sheet'!F7</f>
        <v>9.7000672550794196</v>
      </c>
      <c r="H67" s="4">
        <f>H6/'Balance Sheet'!G7</f>
        <v>9.5164197889823114</v>
      </c>
      <c r="I67" s="126">
        <f>I6/'Balance Sheet'!$G$7</f>
        <v>10.277733372100897</v>
      </c>
      <c r="J67" s="126">
        <f>J6/'Balance Sheet'!$G$7</f>
        <v>11.099952041868971</v>
      </c>
      <c r="K67" s="126">
        <f>K6/'Balance Sheet'!$G$7</f>
        <v>11.876948684799798</v>
      </c>
      <c r="L67" s="126">
        <f>L6/'Balance Sheet'!$G$7</f>
        <v>12.708335092735785</v>
      </c>
      <c r="M67" s="126">
        <f>M6/'Balance Sheet'!$G$7</f>
        <v>13.470835198299934</v>
      </c>
    </row>
    <row r="68" spans="2:13" ht="15.75" customHeight="1" x14ac:dyDescent="0.25">
      <c r="C68" s="4" t="s">
        <v>268</v>
      </c>
      <c r="D68" s="119" t="s">
        <v>269</v>
      </c>
      <c r="E68" s="4">
        <f t="shared" ref="E68:H68" si="72">E6/E42</f>
        <v>2.1673384546996983</v>
      </c>
      <c r="F68" s="4">
        <f t="shared" si="72"/>
        <v>3.2678548043932758</v>
      </c>
      <c r="G68" s="4">
        <f t="shared" si="72"/>
        <v>3.4713260157721768</v>
      </c>
      <c r="H68" s="4">
        <f t="shared" si="72"/>
        <v>2.5934077146259198</v>
      </c>
      <c r="I68" s="126">
        <f t="shared" ref="I68:M68" si="73">I6/I42</f>
        <v>2.7347686634210135</v>
      </c>
      <c r="J68" s="126">
        <f t="shared" si="73"/>
        <v>2.7347686634210153</v>
      </c>
      <c r="K68" s="126">
        <f t="shared" si="73"/>
        <v>2.7347686634210127</v>
      </c>
      <c r="L68" s="126">
        <f t="shared" si="73"/>
        <v>2.7347686634210162</v>
      </c>
      <c r="M68" s="126">
        <f t="shared" si="73"/>
        <v>2.7347686634210135</v>
      </c>
    </row>
    <row r="69" spans="2:13" ht="15.75" customHeight="1" x14ac:dyDescent="0.25">
      <c r="C69" s="4" t="s">
        <v>270</v>
      </c>
      <c r="D69" s="119" t="s">
        <v>270</v>
      </c>
      <c r="E69" s="4">
        <f t="shared" ref="E69:H69" si="74">E42/E6</f>
        <v>0.46139540311831817</v>
      </c>
      <c r="F69" s="4">
        <f t="shared" si="74"/>
        <v>0.30601114794194917</v>
      </c>
      <c r="G69" s="4">
        <f t="shared" si="74"/>
        <v>0.28807435413915039</v>
      </c>
      <c r="H69" s="4">
        <f t="shared" si="74"/>
        <v>0.38559305363377572</v>
      </c>
      <c r="I69" s="126">
        <f t="shared" ref="I69:M69" si="75">I42/I6</f>
        <v>0.36566164201584295</v>
      </c>
      <c r="J69" s="126">
        <f t="shared" si="75"/>
        <v>0.36566164201584272</v>
      </c>
      <c r="K69" s="126">
        <f t="shared" si="75"/>
        <v>0.36566164201584311</v>
      </c>
      <c r="L69" s="126">
        <f t="shared" si="75"/>
        <v>0.36566164201584261</v>
      </c>
      <c r="M69" s="126">
        <f t="shared" si="75"/>
        <v>0.36566164201584295</v>
      </c>
    </row>
    <row r="70" spans="2:13" ht="15.75" customHeight="1" x14ac:dyDescent="0.25">
      <c r="D70" s="119"/>
    </row>
    <row r="71" spans="2:13" ht="15.75" customHeight="1" x14ac:dyDescent="0.25">
      <c r="B71" s="10"/>
      <c r="C71" s="10" t="s">
        <v>271</v>
      </c>
      <c r="D71" s="139"/>
      <c r="E71" s="10"/>
      <c r="F71" s="10"/>
      <c r="G71" s="10"/>
      <c r="H71" s="10"/>
      <c r="I71" s="10"/>
      <c r="J71" s="10"/>
      <c r="K71" s="10"/>
      <c r="L71" s="10"/>
      <c r="M71" s="10"/>
    </row>
    <row r="72" spans="2:13" ht="15.75" customHeight="1" x14ac:dyDescent="0.25">
      <c r="C72" s="4" t="s">
        <v>272</v>
      </c>
      <c r="D72" s="119" t="s">
        <v>273</v>
      </c>
      <c r="E72" s="4">
        <f>E30</f>
        <v>55240.21</v>
      </c>
      <c r="F72" s="4">
        <f t="shared" ref="F72:H72" si="76">(E30+F30)/2</f>
        <v>55741.985000000001</v>
      </c>
      <c r="G72" s="4">
        <f t="shared" si="76"/>
        <v>57806.775000000001</v>
      </c>
      <c r="H72" s="4">
        <f t="shared" si="76"/>
        <v>59187.645000000004</v>
      </c>
      <c r="I72" s="126">
        <f t="shared" ref="I72:M72" si="77">(H30+I30)/2</f>
        <v>60130.170510246578</v>
      </c>
      <c r="J72" s="126">
        <f t="shared" si="77"/>
        <v>62726.642261312882</v>
      </c>
      <c r="K72" s="126">
        <f t="shared" si="77"/>
        <v>65589.295674707246</v>
      </c>
      <c r="L72" s="126">
        <f t="shared" si="77"/>
        <v>68468.359671936763</v>
      </c>
      <c r="M72" s="126">
        <f t="shared" si="77"/>
        <v>71321.474341489375</v>
      </c>
    </row>
    <row r="73" spans="2:13" ht="15.75" customHeight="1" x14ac:dyDescent="0.25">
      <c r="C73" s="4" t="s">
        <v>274</v>
      </c>
      <c r="D73" s="119" t="s">
        <v>273</v>
      </c>
      <c r="E73" s="4">
        <f>E40</f>
        <v>25972</v>
      </c>
      <c r="F73" s="4">
        <f t="shared" ref="F73:H73" si="78">(E40+F40)/2</f>
        <v>26239.3</v>
      </c>
      <c r="G73" s="4">
        <f t="shared" si="78"/>
        <v>26667.314999999999</v>
      </c>
      <c r="H73" s="4">
        <f t="shared" si="78"/>
        <v>25633.34</v>
      </c>
      <c r="I73" s="126">
        <f t="shared" ref="I73:M73" si="79">(H40+I40)/2</f>
        <v>24564.445486700002</v>
      </c>
      <c r="J73" s="126">
        <f t="shared" si="79"/>
        <v>24826.100099036004</v>
      </c>
      <c r="K73" s="126">
        <f t="shared" si="79"/>
        <v>25107.328489102521</v>
      </c>
      <c r="L73" s="126">
        <f t="shared" si="79"/>
        <v>25408.242866473698</v>
      </c>
      <c r="M73" s="126">
        <f t="shared" si="79"/>
        <v>25728.66579913145</v>
      </c>
    </row>
    <row r="74" spans="2:13" ht="15.75" customHeight="1" x14ac:dyDescent="0.25">
      <c r="C74" s="4" t="s">
        <v>275</v>
      </c>
      <c r="D74" s="119" t="s">
        <v>273</v>
      </c>
      <c r="E74" s="4">
        <f>E43</f>
        <v>34883</v>
      </c>
      <c r="F74" s="4">
        <f t="shared" ref="F74:H74" si="80">(E43+F43)/2</f>
        <v>34877.805</v>
      </c>
      <c r="G74" s="4">
        <f t="shared" si="80"/>
        <v>35445.480000000003</v>
      </c>
      <c r="H74" s="4">
        <f t="shared" si="80"/>
        <v>34845.525000000001</v>
      </c>
      <c r="I74" s="126">
        <f t="shared" ref="I74:M74" si="81">(H43+I43)/2</f>
        <v>33784.058510246577</v>
      </c>
      <c r="J74" s="126">
        <f t="shared" si="81"/>
        <v>34272.841301312881</v>
      </c>
      <c r="K74" s="126">
        <f t="shared" si="81"/>
        <v>35006.931527507251</v>
      </c>
      <c r="L74" s="126">
        <f t="shared" si="81"/>
        <v>35745.230034432752</v>
      </c>
      <c r="M74" s="126">
        <f t="shared" si="81"/>
        <v>36476.874173863129</v>
      </c>
    </row>
    <row r="75" spans="2:13" ht="15.75" customHeight="1" x14ac:dyDescent="0.25">
      <c r="C75" s="4" t="s">
        <v>276</v>
      </c>
      <c r="D75" s="119" t="s">
        <v>277</v>
      </c>
      <c r="E75" s="4">
        <f t="shared" ref="E75:H75" si="82">E26/E72</f>
        <v>-4.8872008270786804E-2</v>
      </c>
      <c r="F75" s="4">
        <f t="shared" si="82"/>
        <v>7.9780079593505682E-3</v>
      </c>
      <c r="G75" s="4">
        <f t="shared" si="82"/>
        <v>8.2583745590374142E-3</v>
      </c>
      <c r="H75" s="4">
        <f t="shared" si="82"/>
        <v>4.7682248550352021E-3</v>
      </c>
      <c r="I75" s="126">
        <f t="shared" ref="I75:M75" si="83">I26/I72</f>
        <v>4.1841054376708844E-3</v>
      </c>
      <c r="J75" s="126">
        <f t="shared" si="83"/>
        <v>4.3317837760237362E-3</v>
      </c>
      <c r="K75" s="126">
        <f t="shared" si="83"/>
        <v>4.4327130802405516E-3</v>
      </c>
      <c r="L75" s="126">
        <f t="shared" si="83"/>
        <v>4.5435618345742289E-3</v>
      </c>
      <c r="M75" s="126">
        <f t="shared" si="83"/>
        <v>4.6235112563056679E-3</v>
      </c>
    </row>
    <row r="76" spans="2:13" ht="15.75" customHeight="1" x14ac:dyDescent="0.25">
      <c r="C76" s="4" t="s">
        <v>278</v>
      </c>
      <c r="D76" s="119" t="s">
        <v>279</v>
      </c>
      <c r="E76" s="4">
        <f t="shared" ref="E76:H76" si="84">E26/E73</f>
        <v>-0.10394655783151086</v>
      </c>
      <c r="F76" s="4">
        <f t="shared" si="84"/>
        <v>1.6948241759498158E-2</v>
      </c>
      <c r="G76" s="4">
        <f t="shared" si="84"/>
        <v>1.7901689765167584E-2</v>
      </c>
      <c r="H76" s="4">
        <f t="shared" si="84"/>
        <v>1.1009880101461613E-2</v>
      </c>
      <c r="I76" s="126">
        <f t="shared" ref="I76:M76" si="85">I26/I73</f>
        <v>1.024207827268968E-2</v>
      </c>
      <c r="J76" s="126">
        <f t="shared" si="85"/>
        <v>1.0944862470869952E-2</v>
      </c>
      <c r="K76" s="126">
        <f t="shared" si="85"/>
        <v>1.1579827339544739E-2</v>
      </c>
      <c r="L76" s="126">
        <f t="shared" si="85"/>
        <v>1.2243673343181013E-2</v>
      </c>
      <c r="M76" s="126">
        <f t="shared" si="85"/>
        <v>1.2816663017377447E-2</v>
      </c>
    </row>
    <row r="77" spans="2:13" ht="15.75" customHeight="1" x14ac:dyDescent="0.25">
      <c r="C77" s="4" t="s">
        <v>280</v>
      </c>
      <c r="D77" s="119" t="s">
        <v>281</v>
      </c>
      <c r="E77" s="4">
        <f t="shared" ref="E77:H77" si="86">E19/E74</f>
        <v>-9.2365335550268046E-2</v>
      </c>
      <c r="F77" s="4">
        <f t="shared" si="86"/>
        <v>2.3694725055088756E-2</v>
      </c>
      <c r="G77" s="4">
        <f t="shared" si="86"/>
        <v>2.8236886621368924E-2</v>
      </c>
      <c r="H77" s="4">
        <f t="shared" si="86"/>
        <v>2.7950504404798029E-2</v>
      </c>
      <c r="I77" s="126">
        <f t="shared" ref="I77:M77" si="87">I19/I74</f>
        <v>2.9024330836468337E-2</v>
      </c>
      <c r="J77" s="126">
        <f t="shared" si="87"/>
        <v>3.0899231761547387E-2</v>
      </c>
      <c r="K77" s="126">
        <f t="shared" si="87"/>
        <v>3.2368868955576453E-2</v>
      </c>
      <c r="L77" s="126">
        <f t="shared" si="87"/>
        <v>3.3919328887332248E-2</v>
      </c>
      <c r="M77" s="126">
        <f t="shared" si="87"/>
        <v>3.5233322361641298E-2</v>
      </c>
    </row>
    <row r="78" spans="2:13" ht="15.75" customHeight="1" x14ac:dyDescent="0.25">
      <c r="C78" s="4" t="s">
        <v>282</v>
      </c>
      <c r="D78" s="119" t="s">
        <v>214</v>
      </c>
      <c r="E78" s="4">
        <f t="shared" ref="E78:H78" si="88">E19/E6</f>
        <v>-0.18614811403982626</v>
      </c>
      <c r="F78" s="4">
        <f t="shared" si="88"/>
        <v>3.8961694094928639E-2</v>
      </c>
      <c r="G78" s="4">
        <f t="shared" si="88"/>
        <v>4.2836403603005183E-2</v>
      </c>
      <c r="H78" s="4">
        <f t="shared" si="88"/>
        <v>4.0763360312194727E-2</v>
      </c>
      <c r="I78" s="126">
        <f t="shared" ref="I78:M78" si="89">I19/I6</f>
        <v>3.8000000000000006E-2</v>
      </c>
      <c r="J78" s="126">
        <f t="shared" si="89"/>
        <v>3.7999999999999999E-2</v>
      </c>
      <c r="K78" s="126">
        <f t="shared" si="89"/>
        <v>3.7999999999999992E-2</v>
      </c>
      <c r="L78" s="126">
        <f t="shared" si="89"/>
        <v>3.8000000000000013E-2</v>
      </c>
      <c r="M78" s="126">
        <f t="shared" si="89"/>
        <v>3.8000000000000013E-2</v>
      </c>
    </row>
    <row r="79" spans="2:13" ht="15.75" customHeight="1" x14ac:dyDescent="0.25">
      <c r="D79" s="119"/>
    </row>
    <row r="80" spans="2:13" ht="15.75" customHeight="1" x14ac:dyDescent="0.25">
      <c r="B80" s="10"/>
      <c r="C80" s="10" t="s">
        <v>283</v>
      </c>
      <c r="D80" s="139"/>
      <c r="E80" s="10"/>
      <c r="F80" s="10"/>
      <c r="G80" s="10"/>
      <c r="H80" s="10"/>
      <c r="I80" s="10"/>
      <c r="J80" s="10"/>
      <c r="K80" s="10"/>
      <c r="L80" s="10"/>
      <c r="M80" s="10"/>
    </row>
    <row r="81" spans="2:13" ht="15.75" customHeight="1" x14ac:dyDescent="0.25">
      <c r="C81" s="4" t="s">
        <v>284</v>
      </c>
      <c r="D81" s="119" t="s">
        <v>162</v>
      </c>
      <c r="E81" s="144">
        <f>'Cash Flow'!D32</f>
        <v>559.95000000000005</v>
      </c>
      <c r="F81" s="144">
        <f>'Cash Flow'!E32</f>
        <v>660.25</v>
      </c>
      <c r="G81" s="144">
        <f>'Cash Flow'!F32</f>
        <v>-741.52</v>
      </c>
      <c r="H81" s="144">
        <f>'Cash Flow'!G32</f>
        <v>-3712.9</v>
      </c>
      <c r="I81" s="126">
        <f t="shared" ref="I81:M81" si="90">I26+I18-((I59-H59)+(I60-H60)-(I61-H61))</f>
        <v>1891.4509441178079</v>
      </c>
      <c r="J81" s="126">
        <f t="shared" si="90"/>
        <v>447.78067772942472</v>
      </c>
      <c r="K81" s="126">
        <f t="shared" si="90"/>
        <v>498.92032975130553</v>
      </c>
      <c r="L81" s="126">
        <f t="shared" si="90"/>
        <v>533.84475283389793</v>
      </c>
      <c r="M81" s="126">
        <f t="shared" si="90"/>
        <v>588.75054529752879</v>
      </c>
    </row>
    <row r="82" spans="2:13" ht="15.75" customHeight="1" x14ac:dyDescent="0.25">
      <c r="C82" s="4" t="s">
        <v>163</v>
      </c>
      <c r="D82" s="119" t="s">
        <v>163</v>
      </c>
      <c r="E82" s="4">
        <f t="shared" ref="E82:H82" si="91">E81/E6</f>
        <v>3.2350801822668272E-2</v>
      </c>
      <c r="F82" s="4">
        <f t="shared" si="91"/>
        <v>3.1127584673866358E-2</v>
      </c>
      <c r="G82" s="4">
        <f t="shared" si="91"/>
        <v>-3.1736439297511569E-2</v>
      </c>
      <c r="H82" s="4">
        <f t="shared" si="91"/>
        <v>-0.15539840905913838</v>
      </c>
      <c r="I82" s="126">
        <f t="shared" ref="I82:M82" si="92">I81/I6</f>
        <v>7.330011270248786E-2</v>
      </c>
      <c r="J82" s="126">
        <f t="shared" si="92"/>
        <v>1.6067605276509387E-2</v>
      </c>
      <c r="K82" s="126">
        <f t="shared" si="92"/>
        <v>1.6731436435795645E-2</v>
      </c>
      <c r="L82" s="126">
        <f t="shared" si="92"/>
        <v>1.6731436435795673E-2</v>
      </c>
      <c r="M82" s="126">
        <f t="shared" si="92"/>
        <v>1.7407792711294882E-2</v>
      </c>
    </row>
    <row r="83" spans="2:13" ht="15.75" customHeight="1" x14ac:dyDescent="0.25">
      <c r="C83" s="4" t="s">
        <v>285</v>
      </c>
      <c r="D83" s="119" t="s">
        <v>286</v>
      </c>
      <c r="E83" s="4">
        <f t="shared" ref="E83:H83" si="93">E81/E26</f>
        <v>-0.20741193465940663</v>
      </c>
      <c r="F83" s="4">
        <f t="shared" si="93"/>
        <v>1.4846754064446495</v>
      </c>
      <c r="G83" s="4">
        <f t="shared" si="93"/>
        <v>-1.5532792894698255</v>
      </c>
      <c r="H83" s="4">
        <f t="shared" si="93"/>
        <v>-13.15604847282262</v>
      </c>
      <c r="I83" s="126">
        <f t="shared" ref="I83:M83" si="94">I81/I26</f>
        <v>7.5179602771782381</v>
      </c>
      <c r="J83" s="126">
        <f t="shared" si="94"/>
        <v>1.6479595155394247</v>
      </c>
      <c r="K83" s="126">
        <f t="shared" si="94"/>
        <v>1.7160447626457083</v>
      </c>
      <c r="L83" s="126">
        <f t="shared" si="94"/>
        <v>1.7160447626457087</v>
      </c>
      <c r="M83" s="126">
        <f t="shared" si="94"/>
        <v>1.7854146370558837</v>
      </c>
    </row>
    <row r="84" spans="2:13" ht="15.75" customHeight="1" x14ac:dyDescent="0.25">
      <c r="C84" s="4" t="s">
        <v>287</v>
      </c>
      <c r="D84" s="119" t="s">
        <v>288</v>
      </c>
      <c r="E84" s="4">
        <f>-'Cash Flow'!D40</f>
        <v>250.35</v>
      </c>
      <c r="F84" s="4">
        <f>-'Cash Flow'!E40</f>
        <v>169.38</v>
      </c>
      <c r="G84" s="4">
        <f>-'Cash Flow'!F40</f>
        <v>188.4</v>
      </c>
      <c r="H84" s="4">
        <f>-'Cash Flow'!G40</f>
        <v>232.5</v>
      </c>
      <c r="I84" s="126">
        <f t="shared" ref="I84:M84" si="95">I6*I128</f>
        <v>258.04202400000003</v>
      </c>
      <c r="J84" s="126">
        <f t="shared" si="95"/>
        <v>278.68538592000004</v>
      </c>
      <c r="K84" s="126">
        <f t="shared" si="95"/>
        <v>298.19336293440006</v>
      </c>
      <c r="L84" s="126">
        <f t="shared" si="95"/>
        <v>319.06689833980812</v>
      </c>
      <c r="M84" s="126">
        <f t="shared" si="95"/>
        <v>338.21091224019665</v>
      </c>
    </row>
    <row r="85" spans="2:13" ht="15.75" customHeight="1" x14ac:dyDescent="0.25">
      <c r="B85" s="131"/>
      <c r="C85" s="19" t="s">
        <v>289</v>
      </c>
      <c r="D85" s="132" t="s">
        <v>290</v>
      </c>
      <c r="E85" s="19">
        <f t="shared" ref="E85:H85" si="96">E81-E84</f>
        <v>309.60000000000002</v>
      </c>
      <c r="F85" s="19">
        <f t="shared" si="96"/>
        <v>490.87</v>
      </c>
      <c r="G85" s="19">
        <f t="shared" si="96"/>
        <v>-929.92</v>
      </c>
      <c r="H85" s="19">
        <f t="shared" si="96"/>
        <v>-3945.4</v>
      </c>
      <c r="I85" s="172">
        <f t="shared" ref="I85:M85" si="97">I81-I84</f>
        <v>1633.4089201178078</v>
      </c>
      <c r="J85" s="172">
        <f t="shared" si="97"/>
        <v>169.09529180942468</v>
      </c>
      <c r="K85" s="172">
        <f t="shared" si="97"/>
        <v>200.72696681690547</v>
      </c>
      <c r="L85" s="172">
        <f t="shared" si="97"/>
        <v>214.77785449408981</v>
      </c>
      <c r="M85" s="172">
        <f t="shared" si="97"/>
        <v>250.53963305733214</v>
      </c>
    </row>
    <row r="86" spans="2:13" ht="15.75" customHeight="1" x14ac:dyDescent="0.25">
      <c r="C86" s="4" t="s">
        <v>164</v>
      </c>
      <c r="D86" s="119" t="s">
        <v>164</v>
      </c>
      <c r="E86" s="4">
        <f t="shared" ref="E86:H86" si="98">E85/E6</f>
        <v>1.7886968915614067E-2</v>
      </c>
      <c r="F86" s="4">
        <f t="shared" si="98"/>
        <v>2.3142139324287436E-2</v>
      </c>
      <c r="G86" s="4">
        <f t="shared" si="98"/>
        <v>-3.9799802610235677E-2</v>
      </c>
      <c r="H86" s="4">
        <f t="shared" si="98"/>
        <v>-0.16512938218156281</v>
      </c>
      <c r="I86" s="126">
        <f t="shared" ref="I86:M86" si="99">I85/I6</f>
        <v>6.3300112702487865E-2</v>
      </c>
      <c r="J86" s="126">
        <f t="shared" si="99"/>
        <v>6.0676052765093859E-3</v>
      </c>
      <c r="K86" s="126">
        <f t="shared" si="99"/>
        <v>6.7314364357956439E-3</v>
      </c>
      <c r="L86" s="126">
        <f t="shared" si="99"/>
        <v>6.7314364357956725E-3</v>
      </c>
      <c r="M86" s="126">
        <f t="shared" si="99"/>
        <v>7.4077927112948814E-3</v>
      </c>
    </row>
    <row r="87" spans="2:13" ht="15.75" customHeight="1" x14ac:dyDescent="0.25">
      <c r="C87" s="4" t="s">
        <v>183</v>
      </c>
      <c r="D87" s="119" t="s">
        <v>184</v>
      </c>
      <c r="E87" s="144">
        <f>'Cash Flow'!D41</f>
        <v>-42.5</v>
      </c>
      <c r="F87" s="144">
        <f>'Cash Flow'!E41</f>
        <v>-1125.32</v>
      </c>
      <c r="G87" s="144">
        <f>'Cash Flow'!F41</f>
        <v>1480.46</v>
      </c>
      <c r="H87" s="144">
        <f>'Cash Flow'!G41</f>
        <v>1330.86</v>
      </c>
      <c r="I87" s="126">
        <f t="shared" ref="I87:M87" si="100">-I84</f>
        <v>-258.04202400000003</v>
      </c>
      <c r="J87" s="126">
        <f t="shared" si="100"/>
        <v>-278.68538592000004</v>
      </c>
      <c r="K87" s="126">
        <f t="shared" si="100"/>
        <v>-298.19336293440006</v>
      </c>
      <c r="L87" s="126">
        <f t="shared" si="100"/>
        <v>-319.06689833980812</v>
      </c>
      <c r="M87" s="126">
        <f t="shared" si="100"/>
        <v>-338.21091224019665</v>
      </c>
    </row>
    <row r="88" spans="2:13" ht="15.75" customHeight="1" x14ac:dyDescent="0.25">
      <c r="C88" s="4" t="s">
        <v>181</v>
      </c>
      <c r="D88" s="119" t="s">
        <v>182</v>
      </c>
      <c r="E88" s="144">
        <f>'Cash Flow'!D48</f>
        <v>-394.15</v>
      </c>
      <c r="F88" s="144">
        <f>'Cash Flow'!E48</f>
        <v>-329.49</v>
      </c>
      <c r="G88" s="144">
        <f>'Cash Flow'!F48</f>
        <v>88.96</v>
      </c>
      <c r="H88" s="144">
        <f>'Cash Flow'!G48</f>
        <v>2655.74</v>
      </c>
      <c r="I88" s="126">
        <f t="shared" ref="I88:M88" si="101">I37-H37</f>
        <v>0</v>
      </c>
      <c r="J88" s="126">
        <f t="shared" si="101"/>
        <v>0</v>
      </c>
      <c r="K88" s="126">
        <f t="shared" si="101"/>
        <v>0</v>
      </c>
      <c r="L88" s="126">
        <f t="shared" si="101"/>
        <v>0</v>
      </c>
      <c r="M88" s="126">
        <f t="shared" si="101"/>
        <v>0</v>
      </c>
    </row>
    <row r="89" spans="2:13" ht="15.75" customHeight="1" x14ac:dyDescent="0.25">
      <c r="B89" s="131"/>
      <c r="C89" s="19" t="s">
        <v>291</v>
      </c>
      <c r="D89" s="132" t="s">
        <v>292</v>
      </c>
      <c r="E89" s="145">
        <f>'Cash Flow'!D49</f>
        <v>123.3</v>
      </c>
      <c r="F89" s="145">
        <f>'Cash Flow'!E49</f>
        <v>-794.56</v>
      </c>
      <c r="G89" s="145">
        <f>'Cash Flow'!F49</f>
        <v>827.9</v>
      </c>
      <c r="H89" s="145">
        <f>'Cash Flow'!G49</f>
        <v>273.7</v>
      </c>
      <c r="I89" s="172">
        <f t="shared" ref="I89:M89" si="102">I81+I87+I88</f>
        <v>1633.4089201178078</v>
      </c>
      <c r="J89" s="172">
        <f t="shared" si="102"/>
        <v>169.09529180942468</v>
      </c>
      <c r="K89" s="172">
        <f t="shared" si="102"/>
        <v>200.72696681690547</v>
      </c>
      <c r="L89" s="172">
        <f t="shared" si="102"/>
        <v>214.77785449408981</v>
      </c>
      <c r="M89" s="172">
        <f t="shared" si="102"/>
        <v>250.53963305733214</v>
      </c>
    </row>
    <row r="90" spans="2:13" ht="15.75" customHeight="1" x14ac:dyDescent="0.25">
      <c r="C90" s="4" t="s">
        <v>293</v>
      </c>
      <c r="D90" s="119" t="s">
        <v>293</v>
      </c>
      <c r="E90" s="4">
        <f t="shared" ref="E90:H90" si="103">E84/E6</f>
        <v>1.4463832907054204E-2</v>
      </c>
      <c r="F90" s="4">
        <f t="shared" si="103"/>
        <v>7.9854453495789221E-3</v>
      </c>
      <c r="G90" s="4">
        <f t="shared" si="103"/>
        <v>8.0633633127241075E-3</v>
      </c>
      <c r="H90" s="4">
        <f t="shared" si="103"/>
        <v>9.7309731224244321E-3</v>
      </c>
      <c r="I90" s="126">
        <f t="shared" ref="I90:M90" si="104">I84/I6</f>
        <v>0.01</v>
      </c>
      <c r="J90" s="126">
        <f t="shared" si="104"/>
        <v>0.01</v>
      </c>
      <c r="K90" s="126">
        <f t="shared" si="104"/>
        <v>0.01</v>
      </c>
      <c r="L90" s="126">
        <f t="shared" si="104"/>
        <v>0.01</v>
      </c>
      <c r="M90" s="126">
        <f t="shared" si="104"/>
        <v>0.01</v>
      </c>
    </row>
    <row r="91" spans="2:13" ht="15.75" customHeight="1" x14ac:dyDescent="0.25">
      <c r="C91" s="4" t="s">
        <v>294</v>
      </c>
      <c r="D91" s="119" t="s">
        <v>295</v>
      </c>
      <c r="E91" s="4">
        <f t="shared" ref="E91:H91" si="105">E84/E18</f>
        <v>0.52900158478605386</v>
      </c>
      <c r="F91" s="4">
        <f t="shared" si="105"/>
        <v>0.53922067999490642</v>
      </c>
      <c r="G91" s="4">
        <f t="shared" si="105"/>
        <v>0.72366904816778066</v>
      </c>
      <c r="H91" s="4">
        <f t="shared" si="105"/>
        <v>0.93411008437123344</v>
      </c>
      <c r="I91" s="126">
        <f t="shared" ref="I91:M91" si="106">I84/I18</f>
        <v>0.83333333333333326</v>
      </c>
      <c r="J91" s="126">
        <f t="shared" si="106"/>
        <v>0.83333333333333326</v>
      </c>
      <c r="K91" s="126">
        <f t="shared" si="106"/>
        <v>0.83333333333333326</v>
      </c>
      <c r="L91" s="126">
        <f t="shared" si="106"/>
        <v>0.83333333333333337</v>
      </c>
      <c r="M91" s="126">
        <f t="shared" si="106"/>
        <v>0.83333333333333337</v>
      </c>
    </row>
    <row r="92" spans="2:13" ht="15.75" customHeight="1" x14ac:dyDescent="0.25">
      <c r="D92" s="119"/>
    </row>
    <row r="93" spans="2:13" ht="15.75" customHeight="1" x14ac:dyDescent="0.25">
      <c r="B93" s="10"/>
      <c r="C93" s="10" t="s">
        <v>296</v>
      </c>
      <c r="D93" s="139"/>
      <c r="E93" s="10"/>
      <c r="F93" s="10"/>
      <c r="G93" s="10"/>
      <c r="H93" s="10"/>
      <c r="I93" s="10"/>
      <c r="J93" s="10"/>
      <c r="K93" s="10"/>
      <c r="L93" s="10"/>
      <c r="M93" s="10"/>
    </row>
    <row r="94" spans="2:13" ht="15.75" customHeight="1" x14ac:dyDescent="0.25">
      <c r="C94" s="4" t="s">
        <v>153</v>
      </c>
      <c r="D94" s="119" t="s">
        <v>297</v>
      </c>
      <c r="F94" s="4">
        <f t="shared" ref="F94:H94" si="107">F6/E6-1</f>
        <v>0.22545900354099602</v>
      </c>
      <c r="G94" s="4">
        <f t="shared" si="107"/>
        <v>0.10154357932572067</v>
      </c>
      <c r="H94" s="4">
        <f t="shared" si="107"/>
        <v>2.2591113009492014E-2</v>
      </c>
      <c r="I94" s="126">
        <f t="shared" ref="I94:M94" si="108">I6/H6-1</f>
        <v>8.0000000000000071E-2</v>
      </c>
      <c r="J94" s="126">
        <f t="shared" si="108"/>
        <v>8.0000000000000071E-2</v>
      </c>
      <c r="K94" s="126">
        <f t="shared" si="108"/>
        <v>7.0000000000000062E-2</v>
      </c>
      <c r="L94" s="126">
        <f t="shared" si="108"/>
        <v>7.0000000000000062E-2</v>
      </c>
      <c r="M94" s="126">
        <f t="shared" si="108"/>
        <v>6.0000000000000053E-2</v>
      </c>
    </row>
    <row r="95" spans="2:13" ht="15.75" customHeight="1" x14ac:dyDescent="0.25">
      <c r="C95" s="4" t="s">
        <v>298</v>
      </c>
      <c r="D95" s="119" t="s">
        <v>299</v>
      </c>
      <c r="F95" s="4">
        <f t="shared" ref="F95:H95" si="109">F12/E12-1</f>
        <v>0.18006237518526813</v>
      </c>
      <c r="G95" s="4">
        <f t="shared" si="109"/>
        <v>0.10081732829483037</v>
      </c>
      <c r="H95" s="4">
        <f t="shared" si="109"/>
        <v>3.036428650297518E-3</v>
      </c>
      <c r="I95" s="126">
        <f t="shared" ref="I95:M95" si="110">I12/H12-1</f>
        <v>9.2523462142605872E-2</v>
      </c>
      <c r="J95" s="126">
        <f t="shared" si="110"/>
        <v>8.0000000000000071E-2</v>
      </c>
      <c r="K95" s="126">
        <f t="shared" si="110"/>
        <v>7.0000000000000062E-2</v>
      </c>
      <c r="L95" s="126">
        <f t="shared" si="110"/>
        <v>7.0000000000000284E-2</v>
      </c>
      <c r="M95" s="126">
        <f t="shared" si="110"/>
        <v>6.0000000000000053E-2</v>
      </c>
    </row>
    <row r="96" spans="2:13" ht="15.75" customHeight="1" x14ac:dyDescent="0.25">
      <c r="C96" s="4" t="s">
        <v>300</v>
      </c>
      <c r="D96" s="119" t="s">
        <v>301</v>
      </c>
      <c r="F96" s="4">
        <f t="shared" ref="F96:H96" si="111">F16/E16-1</f>
        <v>-1.4149334419895734</v>
      </c>
      <c r="G96" s="4">
        <f t="shared" si="111"/>
        <v>0.1058007610430145</v>
      </c>
      <c r="H96" s="4">
        <f t="shared" si="111"/>
        <v>-3.041523616209818E-2</v>
      </c>
      <c r="I96" s="126">
        <f t="shared" ref="I96:M96" si="112">I16/H16-1</f>
        <v>5.5084532035818423E-2</v>
      </c>
      <c r="J96" s="126">
        <f t="shared" si="112"/>
        <v>7.9999999999999849E-2</v>
      </c>
      <c r="K96" s="126">
        <f t="shared" si="112"/>
        <v>6.999999999999984E-2</v>
      </c>
      <c r="L96" s="126">
        <f t="shared" si="112"/>
        <v>7.0000000000000506E-2</v>
      </c>
      <c r="M96" s="126">
        <f t="shared" si="112"/>
        <v>6.0000000000000053E-2</v>
      </c>
    </row>
    <row r="97" spans="3:13" ht="15.75" customHeight="1" x14ac:dyDescent="0.25">
      <c r="C97" s="4" t="s">
        <v>302</v>
      </c>
      <c r="D97" s="119" t="s">
        <v>303</v>
      </c>
      <c r="F97" s="4">
        <f t="shared" ref="F97:H97" si="113">F19/E19-1</f>
        <v>-1.2564944537210039</v>
      </c>
      <c r="G97" s="4">
        <f t="shared" si="113"/>
        <v>0.21109121270056375</v>
      </c>
      <c r="H97" s="4">
        <f t="shared" si="113"/>
        <v>-2.6896599958036504E-2</v>
      </c>
      <c r="I97" s="126">
        <f t="shared" ref="I97:M97" si="114">I19/H19-1</f>
        <v>6.7864789773606216E-3</v>
      </c>
      <c r="J97" s="126">
        <f t="shared" si="114"/>
        <v>7.9999999999999627E-2</v>
      </c>
      <c r="K97" s="126">
        <f t="shared" si="114"/>
        <v>7.0000000000000062E-2</v>
      </c>
      <c r="L97" s="126">
        <f t="shared" si="114"/>
        <v>7.0000000000000728E-2</v>
      </c>
      <c r="M97" s="126">
        <f t="shared" si="114"/>
        <v>6.0000000000000053E-2</v>
      </c>
    </row>
    <row r="98" spans="3:13" ht="15.75" customHeight="1" x14ac:dyDescent="0.25">
      <c r="C98" s="4" t="s">
        <v>304</v>
      </c>
      <c r="D98" s="119" t="s">
        <v>305</v>
      </c>
      <c r="F98" s="4" t="str">
        <f>"n/a"</f>
        <v>n/a</v>
      </c>
      <c r="G98" s="4">
        <f t="shared" ref="G98:H98" si="115">G26/F26-1</f>
        <v>7.3486092059994235E-2</v>
      </c>
      <c r="H98" s="4">
        <f t="shared" si="115"/>
        <v>-0.40882716437294453</v>
      </c>
      <c r="I98" s="126">
        <f t="shared" ref="I98:M98" si="116">I26/H26-1</f>
        <v>-0.10852890156615358</v>
      </c>
      <c r="J98" s="126">
        <f t="shared" si="116"/>
        <v>7.9999999999999183E-2</v>
      </c>
      <c r="K98" s="126">
        <f t="shared" si="116"/>
        <v>6.9999999999999618E-2</v>
      </c>
      <c r="L98" s="126">
        <f t="shared" si="116"/>
        <v>7.0000000000001616E-2</v>
      </c>
      <c r="M98" s="126">
        <f t="shared" si="116"/>
        <v>6.0000000000000275E-2</v>
      </c>
    </row>
    <row r="99" spans="3:13" ht="15.75" customHeight="1" x14ac:dyDescent="0.25">
      <c r="C99" s="4" t="s">
        <v>306</v>
      </c>
      <c r="D99" s="119" t="s">
        <v>307</v>
      </c>
      <c r="F99" s="4">
        <f t="shared" ref="F99:H99" si="117">F30/E30-1</f>
        <v>1.8167020002277434E-2</v>
      </c>
      <c r="G99" s="4">
        <f t="shared" si="117"/>
        <v>5.5580032344921371E-2</v>
      </c>
      <c r="H99" s="4">
        <f t="shared" si="117"/>
        <v>-6.1359489396880518E-3</v>
      </c>
      <c r="I99" s="126">
        <f t="shared" ref="I99:M99" si="118">I30/H30-1</f>
        <v>3.812087043569079E-2</v>
      </c>
      <c r="J99" s="126">
        <f t="shared" si="118"/>
        <v>4.8055017898987806E-2</v>
      </c>
      <c r="K99" s="126">
        <f t="shared" si="118"/>
        <v>4.3329778627061E-2</v>
      </c>
      <c r="L99" s="126">
        <f t="shared" si="118"/>
        <v>4.4437400408493088E-2</v>
      </c>
      <c r="M99" s="126">
        <f t="shared" si="118"/>
        <v>3.9021433317790732E-2</v>
      </c>
    </row>
    <row r="100" spans="3:13" ht="15.75" customHeight="1" x14ac:dyDescent="0.25">
      <c r="C100" s="4" t="s">
        <v>308</v>
      </c>
      <c r="D100" s="119" t="s">
        <v>309</v>
      </c>
      <c r="F100" s="4">
        <f t="shared" ref="F100:H100" si="119">F40/E40-1</f>
        <v>2.0583705529031215E-2</v>
      </c>
      <c r="G100" s="4">
        <f t="shared" si="119"/>
        <v>1.2126413798827507E-2</v>
      </c>
      <c r="H100" s="4">
        <f t="shared" si="119"/>
        <v>-8.906281974487118E-2</v>
      </c>
      <c r="I100" s="126">
        <f t="shared" ref="I100:M100" si="120">I40/H40-1</f>
        <v>1.0294798337878719E-2</v>
      </c>
      <c r="J100" s="126">
        <f t="shared" si="120"/>
        <v>1.1005087053007401E-2</v>
      </c>
      <c r="K100" s="126">
        <f t="shared" si="120"/>
        <v>1.1647263992550672E-2</v>
      </c>
      <c r="L100" s="126">
        <f t="shared" si="120"/>
        <v>1.2319088792712929E-2</v>
      </c>
      <c r="M100" s="126">
        <f t="shared" si="120"/>
        <v>1.2899326175750403E-2</v>
      </c>
    </row>
    <row r="101" spans="3:13" ht="15.75" customHeight="1" x14ac:dyDescent="0.25">
      <c r="C101" s="4" t="s">
        <v>310</v>
      </c>
      <c r="D101" s="119" t="s">
        <v>311</v>
      </c>
      <c r="H101" s="4">
        <f>(H6/E6)^(1/3)-1</f>
        <v>0.11344173228354304</v>
      </c>
    </row>
    <row r="102" spans="3:13" ht="15.75" customHeight="1" x14ac:dyDescent="0.25">
      <c r="C102" s="4" t="s">
        <v>312</v>
      </c>
      <c r="D102" s="119" t="s">
        <v>311</v>
      </c>
      <c r="H102" s="4">
        <f>(H9/E9)^(1/3)-1</f>
        <v>0.11443540032098243</v>
      </c>
    </row>
    <row r="103" spans="3:13" ht="15.75" customHeight="1" x14ac:dyDescent="0.25">
      <c r="C103" s="4" t="s">
        <v>313</v>
      </c>
      <c r="D103" s="119" t="s">
        <v>311</v>
      </c>
      <c r="H103" s="4">
        <f>(H30/E30)^(1/3)-1</f>
        <v>2.222317957355191E-2</v>
      </c>
    </row>
    <row r="104" spans="3:13" ht="15.75" customHeight="1" x14ac:dyDescent="0.25">
      <c r="D104" s="119"/>
    </row>
    <row r="105" spans="3:13" ht="15.75" customHeight="1" x14ac:dyDescent="0.25">
      <c r="C105" s="10" t="s">
        <v>423</v>
      </c>
      <c r="D105" s="149"/>
      <c r="E105" s="10"/>
      <c r="F105" s="10"/>
      <c r="G105" s="10"/>
      <c r="H105" s="10"/>
      <c r="I105" s="10"/>
      <c r="J105" s="10"/>
      <c r="K105" s="10"/>
      <c r="L105" s="10"/>
      <c r="M105" s="10"/>
    </row>
    <row r="106" spans="3:13" ht="15.75" customHeight="1" x14ac:dyDescent="0.25">
      <c r="D106" s="119"/>
    </row>
    <row r="107" spans="3:13" ht="15.75" customHeight="1" x14ac:dyDescent="0.25">
      <c r="C107" s="146" t="s">
        <v>424</v>
      </c>
      <c r="D107" s="119"/>
    </row>
    <row r="108" spans="3:13" ht="15.75" customHeight="1" x14ac:dyDescent="0.25">
      <c r="C108" s="4" t="s">
        <v>425</v>
      </c>
      <c r="D108" s="119" t="s">
        <v>426</v>
      </c>
      <c r="I108" s="173">
        <v>0.08</v>
      </c>
      <c r="J108" s="173">
        <v>0.08</v>
      </c>
      <c r="K108" s="173">
        <v>7.0000000000000007E-2</v>
      </c>
      <c r="L108" s="173">
        <v>7.0000000000000007E-2</v>
      </c>
      <c r="M108" s="173">
        <v>0.06</v>
      </c>
    </row>
    <row r="109" spans="3:13" ht="15.75" customHeight="1" x14ac:dyDescent="0.25">
      <c r="D109" s="119"/>
    </row>
    <row r="110" spans="3:13" ht="15.75" customHeight="1" x14ac:dyDescent="0.25">
      <c r="C110" s="146" t="s">
        <v>427</v>
      </c>
      <c r="D110" s="119"/>
    </row>
    <row r="111" spans="3:13" ht="15.75" customHeight="1" x14ac:dyDescent="0.25">
      <c r="C111" s="4" t="s">
        <v>199</v>
      </c>
      <c r="D111" s="119" t="s">
        <v>428</v>
      </c>
      <c r="I111" s="173">
        <v>0.3</v>
      </c>
      <c r="J111" s="173">
        <v>0.3</v>
      </c>
      <c r="K111" s="173">
        <v>0.3</v>
      </c>
      <c r="L111" s="173">
        <v>0.3</v>
      </c>
      <c r="M111" s="173">
        <v>0.3</v>
      </c>
    </row>
    <row r="112" spans="3:13" ht="15.75" customHeight="1" x14ac:dyDescent="0.25">
      <c r="C112" s="4" t="s">
        <v>429</v>
      </c>
      <c r="D112" s="119" t="s">
        <v>430</v>
      </c>
      <c r="I112" s="173">
        <v>0.02</v>
      </c>
      <c r="J112" s="173">
        <v>0.02</v>
      </c>
      <c r="K112" s="173">
        <v>0.02</v>
      </c>
      <c r="L112" s="173">
        <v>0.02</v>
      </c>
      <c r="M112" s="173">
        <v>0.02</v>
      </c>
    </row>
    <row r="113" spans="3:13" ht="15.75" customHeight="1" x14ac:dyDescent="0.25">
      <c r="C113" s="4" t="s">
        <v>431</v>
      </c>
      <c r="D113" s="119" t="s">
        <v>432</v>
      </c>
      <c r="I113" s="173">
        <v>0.245</v>
      </c>
      <c r="J113" s="173">
        <v>0.245</v>
      </c>
      <c r="K113" s="173">
        <v>0.245</v>
      </c>
      <c r="L113" s="173">
        <v>0.245</v>
      </c>
      <c r="M113" s="173">
        <v>0.245</v>
      </c>
    </row>
    <row r="114" spans="3:13" ht="15.75" customHeight="1" x14ac:dyDescent="0.25">
      <c r="C114" s="4" t="s">
        <v>433</v>
      </c>
      <c r="D114" s="119" t="s">
        <v>434</v>
      </c>
      <c r="I114" s="173">
        <v>2.5000000000000001E-2</v>
      </c>
      <c r="J114" s="173">
        <v>2.5000000000000001E-2</v>
      </c>
      <c r="K114" s="173">
        <v>2.5000000000000001E-2</v>
      </c>
      <c r="L114" s="173">
        <v>2.5000000000000001E-2</v>
      </c>
      <c r="M114" s="173">
        <v>2.5000000000000001E-2</v>
      </c>
    </row>
    <row r="115" spans="3:13" ht="15.75" customHeight="1" x14ac:dyDescent="0.25">
      <c r="C115" s="4" t="s">
        <v>435</v>
      </c>
      <c r="D115" s="119" t="s">
        <v>436</v>
      </c>
      <c r="I115" s="173">
        <v>1.2E-2</v>
      </c>
      <c r="J115" s="173">
        <v>1.2E-2</v>
      </c>
      <c r="K115" s="173">
        <v>1.2E-2</v>
      </c>
      <c r="L115" s="173">
        <v>1.2E-2</v>
      </c>
      <c r="M115" s="173">
        <v>1.2E-2</v>
      </c>
    </row>
    <row r="116" spans="3:13" ht="15.75" customHeight="1" x14ac:dyDescent="0.25">
      <c r="C116" s="4" t="s">
        <v>437</v>
      </c>
      <c r="D116" s="119" t="s">
        <v>438</v>
      </c>
      <c r="I116" s="173">
        <v>2.5000000000000001E-2</v>
      </c>
      <c r="J116" s="173">
        <v>2.5000000000000001E-2</v>
      </c>
      <c r="K116" s="173">
        <v>2.5000000000000001E-2</v>
      </c>
      <c r="L116" s="173">
        <v>2.5000000000000001E-2</v>
      </c>
      <c r="M116" s="173">
        <v>2.5000000000000001E-2</v>
      </c>
    </row>
    <row r="117" spans="3:13" ht="15.75" customHeight="1" x14ac:dyDescent="0.25">
      <c r="C117" s="4" t="s">
        <v>220</v>
      </c>
      <c r="D117" s="119" t="s">
        <v>439</v>
      </c>
      <c r="I117" s="173">
        <v>0.25</v>
      </c>
      <c r="J117" s="173">
        <v>0.25</v>
      </c>
      <c r="K117" s="173">
        <v>0.25</v>
      </c>
      <c r="L117" s="173">
        <v>0.25</v>
      </c>
      <c r="M117" s="173">
        <v>0.25</v>
      </c>
    </row>
    <row r="118" spans="3:13" ht="15.75" customHeight="1" x14ac:dyDescent="0.25">
      <c r="D118" s="119"/>
    </row>
    <row r="119" spans="3:13" ht="15.75" customHeight="1" x14ac:dyDescent="0.25">
      <c r="C119" s="146" t="s">
        <v>440</v>
      </c>
      <c r="D119" s="119"/>
    </row>
    <row r="120" spans="3:13" ht="15.75" customHeight="1" x14ac:dyDescent="0.25">
      <c r="C120" s="4" t="s">
        <v>441</v>
      </c>
      <c r="D120" s="119" t="s">
        <v>442</v>
      </c>
      <c r="I120" s="173">
        <v>58</v>
      </c>
      <c r="J120" s="173">
        <v>58</v>
      </c>
      <c r="K120" s="173">
        <v>58</v>
      </c>
      <c r="L120" s="173">
        <v>58</v>
      </c>
      <c r="M120" s="173">
        <v>58</v>
      </c>
    </row>
    <row r="121" spans="3:13" ht="15.75" customHeight="1" x14ac:dyDescent="0.25">
      <c r="C121" s="4" t="s">
        <v>443</v>
      </c>
      <c r="D121" s="119" t="s">
        <v>444</v>
      </c>
      <c r="I121" s="173">
        <v>110</v>
      </c>
      <c r="J121" s="173">
        <v>110</v>
      </c>
      <c r="K121" s="173">
        <v>110</v>
      </c>
      <c r="L121" s="173">
        <v>110</v>
      </c>
      <c r="M121" s="173">
        <v>110</v>
      </c>
    </row>
    <row r="122" spans="3:13" ht="15.75" customHeight="1" x14ac:dyDescent="0.25">
      <c r="C122" s="4" t="s">
        <v>445</v>
      </c>
      <c r="D122" s="119" t="s">
        <v>446</v>
      </c>
      <c r="I122" s="173">
        <v>140</v>
      </c>
      <c r="J122" s="173">
        <v>140</v>
      </c>
      <c r="K122" s="173">
        <v>140</v>
      </c>
      <c r="L122" s="173">
        <v>140</v>
      </c>
      <c r="M122" s="173">
        <v>140</v>
      </c>
    </row>
    <row r="123" spans="3:13" ht="15.75" customHeight="1" x14ac:dyDescent="0.25">
      <c r="D123" s="119"/>
    </row>
    <row r="124" spans="3:13" ht="15.75" customHeight="1" x14ac:dyDescent="0.25">
      <c r="C124" s="146" t="s">
        <v>447</v>
      </c>
      <c r="D124" s="119"/>
    </row>
    <row r="125" spans="3:13" ht="15.75" customHeight="1" x14ac:dyDescent="0.25">
      <c r="C125" s="4" t="s">
        <v>448</v>
      </c>
      <c r="D125" s="119" t="s">
        <v>449</v>
      </c>
      <c r="I125" s="173">
        <v>0.28000000000000003</v>
      </c>
      <c r="J125" s="173">
        <v>0.28000000000000003</v>
      </c>
      <c r="K125" s="173">
        <v>0.28000000000000003</v>
      </c>
      <c r="L125" s="173">
        <v>0.28000000000000003</v>
      </c>
      <c r="M125" s="173">
        <v>0.28000000000000003</v>
      </c>
    </row>
    <row r="126" spans="3:13" ht="15.75" customHeight="1" x14ac:dyDescent="0.25">
      <c r="C126" s="4" t="s">
        <v>450</v>
      </c>
      <c r="D126" s="119" t="s">
        <v>451</v>
      </c>
      <c r="I126" s="173">
        <v>0</v>
      </c>
      <c r="J126" s="173">
        <v>0</v>
      </c>
      <c r="K126" s="173">
        <v>0</v>
      </c>
      <c r="L126" s="173">
        <v>0</v>
      </c>
      <c r="M126" s="173">
        <v>0</v>
      </c>
    </row>
    <row r="127" spans="3:13" ht="15.75" customHeight="1" x14ac:dyDescent="0.25">
      <c r="C127" s="4" t="s">
        <v>452</v>
      </c>
      <c r="D127" s="119" t="s">
        <v>451</v>
      </c>
      <c r="I127" s="173">
        <v>0</v>
      </c>
      <c r="J127" s="173">
        <v>0</v>
      </c>
      <c r="K127" s="173">
        <v>0</v>
      </c>
      <c r="L127" s="173">
        <v>0</v>
      </c>
      <c r="M127" s="173">
        <v>0</v>
      </c>
    </row>
    <row r="128" spans="3:13" ht="15.75" customHeight="1" x14ac:dyDescent="0.25">
      <c r="C128" s="4" t="s">
        <v>293</v>
      </c>
      <c r="D128" s="119" t="s">
        <v>453</v>
      </c>
      <c r="I128" s="173">
        <v>0.01</v>
      </c>
      <c r="J128" s="173">
        <v>0.01</v>
      </c>
      <c r="K128" s="173">
        <v>0.01</v>
      </c>
      <c r="L128" s="173">
        <v>0.01</v>
      </c>
      <c r="M128" s="173">
        <v>0.01</v>
      </c>
    </row>
    <row r="129" spans="2:8" ht="15.75" customHeight="1" x14ac:dyDescent="0.25">
      <c r="D129" s="119"/>
    </row>
    <row r="130" spans="2:8" ht="15.75" customHeight="1" x14ac:dyDescent="0.25">
      <c r="B130" s="10"/>
      <c r="C130" s="10" t="s">
        <v>369</v>
      </c>
      <c r="D130" s="139"/>
      <c r="E130" s="10"/>
      <c r="F130" s="10"/>
      <c r="G130" s="10"/>
      <c r="H130" s="10"/>
    </row>
    <row r="131" spans="2:8" ht="15.75" customHeight="1" x14ac:dyDescent="0.25">
      <c r="C131" s="146" t="s">
        <v>314</v>
      </c>
      <c r="D131" s="119"/>
    </row>
    <row r="132" spans="2:8" ht="32.1" customHeight="1" x14ac:dyDescent="0.25">
      <c r="C132" s="147" t="s">
        <v>315</v>
      </c>
      <c r="D132" s="119"/>
    </row>
    <row r="133" spans="2:8" ht="32.1" customHeight="1" x14ac:dyDescent="0.25">
      <c r="C133" s="147" t="s">
        <v>316</v>
      </c>
      <c r="D133" s="119"/>
    </row>
    <row r="134" spans="2:8" ht="32.1" customHeight="1" x14ac:dyDescent="0.25">
      <c r="C134" s="147" t="s">
        <v>317</v>
      </c>
      <c r="D134" s="119"/>
    </row>
    <row r="135" spans="2:8" ht="32.1" customHeight="1" x14ac:dyDescent="0.25">
      <c r="C135" s="146" t="s">
        <v>318</v>
      </c>
      <c r="D135" s="119"/>
    </row>
    <row r="136" spans="2:8" ht="32.1" customHeight="1" x14ac:dyDescent="0.25">
      <c r="C136" s="147" t="s">
        <v>319</v>
      </c>
      <c r="D136" s="119"/>
    </row>
    <row r="137" spans="2:8" ht="32.1" customHeight="1" x14ac:dyDescent="0.25">
      <c r="C137" s="147" t="s">
        <v>320</v>
      </c>
      <c r="D137" s="119"/>
    </row>
    <row r="138" spans="2:8" ht="32.1" customHeight="1" x14ac:dyDescent="0.25">
      <c r="C138" s="147" t="s">
        <v>321</v>
      </c>
      <c r="D138" s="119"/>
    </row>
    <row r="139" spans="2:8" ht="32.1" customHeight="1" x14ac:dyDescent="0.25">
      <c r="C139" s="146" t="s">
        <v>322</v>
      </c>
      <c r="D139" s="119"/>
    </row>
    <row r="140" spans="2:8" ht="32.1" customHeight="1" x14ac:dyDescent="0.25">
      <c r="C140" s="147" t="s">
        <v>323</v>
      </c>
      <c r="D140" s="119"/>
    </row>
    <row r="141" spans="2:8" ht="32.1" customHeight="1" x14ac:dyDescent="0.25">
      <c r="C141" s="147" t="s">
        <v>324</v>
      </c>
      <c r="D141" s="119"/>
    </row>
    <row r="142" spans="2:8" ht="32.1" customHeight="1" x14ac:dyDescent="0.25">
      <c r="C142" s="147" t="s">
        <v>325</v>
      </c>
      <c r="D142" s="119"/>
    </row>
    <row r="143" spans="2:8" ht="32.1" customHeight="1" x14ac:dyDescent="0.25">
      <c r="C143" s="146" t="s">
        <v>326</v>
      </c>
      <c r="D143" s="119"/>
    </row>
    <row r="144" spans="2:8" ht="32.1" customHeight="1" x14ac:dyDescent="0.25">
      <c r="C144" s="147" t="s">
        <v>327</v>
      </c>
      <c r="D144" s="119"/>
    </row>
    <row r="145" spans="2:8" ht="32.1" customHeight="1" x14ac:dyDescent="0.25">
      <c r="C145" s="147" t="s">
        <v>328</v>
      </c>
      <c r="D145" s="119"/>
    </row>
    <row r="146" spans="2:8" ht="32.1" customHeight="1" x14ac:dyDescent="0.25">
      <c r="C146" s="147" t="s">
        <v>329</v>
      </c>
      <c r="D146" s="119"/>
    </row>
    <row r="147" spans="2:8" ht="32.1" customHeight="1" x14ac:dyDescent="0.25">
      <c r="C147" s="146" t="s">
        <v>330</v>
      </c>
      <c r="D147" s="119"/>
    </row>
    <row r="148" spans="2:8" ht="32.1" customHeight="1" x14ac:dyDescent="0.25">
      <c r="C148" s="147" t="s">
        <v>331</v>
      </c>
      <c r="D148" s="119"/>
    </row>
    <row r="149" spans="2:8" ht="32.1" customHeight="1" x14ac:dyDescent="0.25">
      <c r="C149" s="147" t="s">
        <v>332</v>
      </c>
      <c r="D149" s="119"/>
    </row>
    <row r="150" spans="2:8" ht="32.1" customHeight="1" x14ac:dyDescent="0.25">
      <c r="B150" s="10"/>
      <c r="C150" s="148" t="s">
        <v>340</v>
      </c>
      <c r="D150" s="149"/>
      <c r="E150" s="10"/>
      <c r="F150" s="10"/>
      <c r="G150" s="10"/>
      <c r="H150" s="10"/>
    </row>
    <row r="151" spans="2:8" ht="32.1" customHeight="1" x14ac:dyDescent="0.25">
      <c r="C151" s="150" t="s">
        <v>314</v>
      </c>
      <c r="D151" s="119"/>
    </row>
    <row r="152" spans="2:8" ht="32.1" customHeight="1" x14ac:dyDescent="0.25">
      <c r="C152" s="147" t="s">
        <v>341</v>
      </c>
      <c r="D152" s="119"/>
    </row>
    <row r="153" spans="2:8" ht="32.1" customHeight="1" x14ac:dyDescent="0.25">
      <c r="C153" s="147" t="s">
        <v>342</v>
      </c>
      <c r="D153" s="119"/>
    </row>
    <row r="154" spans="2:8" ht="32.1" customHeight="1" x14ac:dyDescent="0.25">
      <c r="C154" s="150" t="s">
        <v>318</v>
      </c>
      <c r="D154" s="119"/>
    </row>
    <row r="155" spans="2:8" ht="32.1" customHeight="1" x14ac:dyDescent="0.25">
      <c r="C155" s="147" t="s">
        <v>343</v>
      </c>
      <c r="D155" s="119"/>
    </row>
    <row r="156" spans="2:8" ht="32.1" customHeight="1" x14ac:dyDescent="0.25">
      <c r="C156" s="147" t="s">
        <v>344</v>
      </c>
      <c r="D156" s="119"/>
    </row>
    <row r="157" spans="2:8" ht="32.1" customHeight="1" x14ac:dyDescent="0.25">
      <c r="C157" s="147" t="s">
        <v>345</v>
      </c>
      <c r="D157" s="119"/>
    </row>
    <row r="158" spans="2:8" ht="32.1" customHeight="1" x14ac:dyDescent="0.25">
      <c r="C158" s="150" t="s">
        <v>322</v>
      </c>
      <c r="D158" s="119"/>
    </row>
    <row r="159" spans="2:8" ht="32.1" customHeight="1" x14ac:dyDescent="0.25">
      <c r="C159" s="147" t="s">
        <v>346</v>
      </c>
      <c r="D159" s="119"/>
    </row>
    <row r="160" spans="2:8" ht="32.1" customHeight="1" x14ac:dyDescent="0.25">
      <c r="C160" s="147" t="s">
        <v>347</v>
      </c>
      <c r="D160" s="119"/>
    </row>
    <row r="161" spans="2:8" ht="32.1" customHeight="1" x14ac:dyDescent="0.25">
      <c r="C161" s="147" t="s">
        <v>348</v>
      </c>
      <c r="D161" s="119"/>
    </row>
    <row r="162" spans="2:8" ht="32.1" customHeight="1" x14ac:dyDescent="0.25">
      <c r="C162" s="150" t="s">
        <v>326</v>
      </c>
      <c r="D162" s="119"/>
    </row>
    <row r="163" spans="2:8" ht="32.1" customHeight="1" x14ac:dyDescent="0.25">
      <c r="C163" s="147" t="s">
        <v>349</v>
      </c>
      <c r="D163" s="119"/>
    </row>
    <row r="164" spans="2:8" ht="32.1" customHeight="1" x14ac:dyDescent="0.25">
      <c r="C164" s="147" t="s">
        <v>350</v>
      </c>
      <c r="D164" s="119"/>
    </row>
    <row r="165" spans="2:8" ht="32.1" customHeight="1" x14ac:dyDescent="0.25">
      <c r="C165" s="147" t="s">
        <v>351</v>
      </c>
      <c r="D165" s="119"/>
    </row>
    <row r="166" spans="2:8" ht="32.1" customHeight="1" x14ac:dyDescent="0.25">
      <c r="C166" s="150" t="s">
        <v>330</v>
      </c>
      <c r="D166" s="119"/>
    </row>
    <row r="167" spans="2:8" ht="32.1" customHeight="1" x14ac:dyDescent="0.25">
      <c r="C167" s="147" t="s">
        <v>352</v>
      </c>
      <c r="D167" s="119"/>
    </row>
    <row r="168" spans="2:8" ht="32.1" customHeight="1" x14ac:dyDescent="0.25">
      <c r="C168" s="147" t="s">
        <v>353</v>
      </c>
      <c r="D168" s="119"/>
    </row>
    <row r="169" spans="2:8" ht="32.1" customHeight="1" x14ac:dyDescent="0.25">
      <c r="C169" s="147"/>
      <c r="D169" s="119"/>
    </row>
    <row r="170" spans="2:8" ht="32.1" customHeight="1" x14ac:dyDescent="0.25">
      <c r="B170" s="10"/>
      <c r="C170" s="148" t="s">
        <v>354</v>
      </c>
      <c r="D170" s="149"/>
      <c r="E170" s="10"/>
      <c r="F170" s="10"/>
      <c r="G170" s="10"/>
      <c r="H170" s="10"/>
    </row>
    <row r="171" spans="2:8" ht="32.1" customHeight="1" x14ac:dyDescent="0.25">
      <c r="C171" s="150" t="s">
        <v>314</v>
      </c>
      <c r="D171" s="119"/>
    </row>
    <row r="172" spans="2:8" ht="32.1" customHeight="1" x14ac:dyDescent="0.25">
      <c r="C172" s="147" t="s">
        <v>355</v>
      </c>
      <c r="D172" s="119"/>
    </row>
    <row r="173" spans="2:8" ht="32.1" customHeight="1" x14ac:dyDescent="0.25">
      <c r="C173" s="147" t="s">
        <v>356</v>
      </c>
      <c r="D173" s="119"/>
    </row>
    <row r="174" spans="2:8" ht="32.1" customHeight="1" x14ac:dyDescent="0.25">
      <c r="C174" s="150" t="s">
        <v>318</v>
      </c>
      <c r="D174" s="119"/>
    </row>
    <row r="175" spans="2:8" ht="32.1" customHeight="1" x14ac:dyDescent="0.25">
      <c r="C175" s="147" t="s">
        <v>357</v>
      </c>
      <c r="D175" s="119"/>
    </row>
    <row r="176" spans="2:8" ht="32.1" customHeight="1" x14ac:dyDescent="0.25">
      <c r="C176" s="147" t="s">
        <v>358</v>
      </c>
      <c r="D176" s="119"/>
    </row>
    <row r="177" spans="2:8" ht="32.1" customHeight="1" x14ac:dyDescent="0.25">
      <c r="C177" s="147" t="s">
        <v>359</v>
      </c>
      <c r="D177" s="119"/>
    </row>
    <row r="178" spans="2:8" ht="32.1" customHeight="1" x14ac:dyDescent="0.25">
      <c r="C178" s="150" t="s">
        <v>322</v>
      </c>
      <c r="D178" s="119"/>
    </row>
    <row r="179" spans="2:8" ht="32.1" customHeight="1" x14ac:dyDescent="0.25">
      <c r="C179" s="147" t="s">
        <v>360</v>
      </c>
      <c r="D179" s="119"/>
    </row>
    <row r="180" spans="2:8" ht="32.1" customHeight="1" x14ac:dyDescent="0.25">
      <c r="C180" s="147" t="s">
        <v>361</v>
      </c>
      <c r="D180" s="119"/>
    </row>
    <row r="181" spans="2:8" ht="32.1" customHeight="1" x14ac:dyDescent="0.25">
      <c r="C181" s="147" t="s">
        <v>362</v>
      </c>
      <c r="D181" s="119"/>
    </row>
    <row r="182" spans="2:8" ht="32.1" customHeight="1" x14ac:dyDescent="0.25">
      <c r="C182" s="150" t="s">
        <v>326</v>
      </c>
      <c r="D182" s="119"/>
    </row>
    <row r="183" spans="2:8" ht="32.1" customHeight="1" x14ac:dyDescent="0.25">
      <c r="C183" s="147" t="s">
        <v>363</v>
      </c>
      <c r="D183" s="119"/>
    </row>
    <row r="184" spans="2:8" ht="32.1" customHeight="1" x14ac:dyDescent="0.25">
      <c r="C184" s="147" t="s">
        <v>364</v>
      </c>
      <c r="D184" s="119"/>
    </row>
    <row r="185" spans="2:8" ht="32.1" customHeight="1" x14ac:dyDescent="0.25">
      <c r="C185" s="147" t="s">
        <v>365</v>
      </c>
      <c r="D185" s="119"/>
    </row>
    <row r="186" spans="2:8" ht="32.1" customHeight="1" x14ac:dyDescent="0.25">
      <c r="C186" s="150" t="s">
        <v>330</v>
      </c>
      <c r="D186" s="119"/>
    </row>
    <row r="187" spans="2:8" ht="32.1" customHeight="1" x14ac:dyDescent="0.25">
      <c r="C187" s="147" t="s">
        <v>366</v>
      </c>
      <c r="D187" s="119"/>
    </row>
    <row r="188" spans="2:8" ht="32.1" customHeight="1" x14ac:dyDescent="0.25">
      <c r="C188" s="147" t="s">
        <v>367</v>
      </c>
      <c r="D188" s="119"/>
    </row>
    <row r="189" spans="2:8" ht="32.1" customHeight="1" x14ac:dyDescent="0.25">
      <c r="C189" s="147"/>
      <c r="D189" s="119"/>
    </row>
    <row r="190" spans="2:8" ht="15.75" customHeight="1" x14ac:dyDescent="0.25">
      <c r="D190" s="119"/>
    </row>
    <row r="191" spans="2:8" ht="15.75" customHeight="1" x14ac:dyDescent="0.25">
      <c r="B191" s="151"/>
      <c r="C191" s="152" t="s">
        <v>368</v>
      </c>
      <c r="D191" s="153"/>
      <c r="E191" s="152"/>
      <c r="F191" s="152"/>
      <c r="G191" s="152"/>
      <c r="H191" s="154"/>
    </row>
    <row r="192" spans="2:8" ht="15.75" customHeight="1" x14ac:dyDescent="0.25">
      <c r="B192" s="155"/>
      <c r="C192" s="156" t="s">
        <v>333</v>
      </c>
      <c r="D192" s="157" t="s">
        <v>334</v>
      </c>
      <c r="E192" s="158">
        <f>'Balance Sheet'!D31-'Balance Sheet'!D59</f>
        <v>0</v>
      </c>
      <c r="F192" s="158">
        <f>'Balance Sheet'!E31-'Balance Sheet'!E59</f>
        <v>0</v>
      </c>
      <c r="G192" s="158">
        <f>'Balance Sheet'!F31-'Balance Sheet'!F59</f>
        <v>0</v>
      </c>
      <c r="H192" s="159">
        <f>'Balance Sheet'!G31-'Balance Sheet'!G59</f>
        <v>0</v>
      </c>
    </row>
    <row r="193" spans="2:8" ht="15.75" customHeight="1" x14ac:dyDescent="0.25">
      <c r="B193" s="160"/>
      <c r="C193" s="161" t="s">
        <v>335</v>
      </c>
      <c r="D193" s="162" t="s">
        <v>336</v>
      </c>
      <c r="E193" s="163">
        <f>'Cash Flow'!D52-'Balance Sheet'!D24</f>
        <v>-7.2899999999999636</v>
      </c>
      <c r="F193" s="163">
        <f>'Cash Flow'!E52-'Balance Sheet'!E24</f>
        <v>0</v>
      </c>
      <c r="G193" s="163">
        <f>'Cash Flow'!F52-'Balance Sheet'!F24</f>
        <v>0</v>
      </c>
      <c r="H193" s="164">
        <f>'Cash Flow'!G52-'Balance Sheet'!G24</f>
        <v>0</v>
      </c>
    </row>
    <row r="194" spans="2:8" ht="15.75" customHeight="1" x14ac:dyDescent="0.25">
      <c r="B194" s="160"/>
      <c r="C194" s="161" t="s">
        <v>337</v>
      </c>
      <c r="D194" s="162" t="s">
        <v>338</v>
      </c>
      <c r="E194" s="165">
        <f>'P&amp;L'!D22-'Cash Flow'!D6</f>
        <v>0</v>
      </c>
      <c r="F194" s="165">
        <f>'P&amp;L'!E22-'Cash Flow'!E6</f>
        <v>0</v>
      </c>
      <c r="G194" s="165">
        <f>'P&amp;L'!F22-'Cash Flow'!F6</f>
        <v>0</v>
      </c>
      <c r="H194" s="166">
        <f>'P&amp;L'!G22-'Cash Flow'!G6</f>
        <v>0</v>
      </c>
    </row>
    <row r="195" spans="2:8" ht="15.75" customHeight="1" x14ac:dyDescent="0.25">
      <c r="B195" s="167"/>
      <c r="C195" s="168" t="s">
        <v>186</v>
      </c>
      <c r="D195" s="169" t="s">
        <v>339</v>
      </c>
      <c r="E195" s="170">
        <f>'P&amp;L'!D27+'P&amp;L'!D32-'P&amp;L'!D33</f>
        <v>0</v>
      </c>
      <c r="F195" s="170">
        <f>'P&amp;L'!E27+'P&amp;L'!E32-'P&amp;L'!E33</f>
        <v>0</v>
      </c>
      <c r="G195" s="170">
        <f>'P&amp;L'!F27+'P&amp;L'!F32-'P&amp;L'!F33</f>
        <v>0</v>
      </c>
      <c r="H195" s="171">
        <f>'P&amp;L'!G27+'P&amp;L'!G32-'P&amp;L'!G33</f>
        <v>0</v>
      </c>
    </row>
  </sheetData>
  <mergeCells count="1">
    <mergeCell ref="B1:M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5B8D-3B6C-4D9D-B3AD-CCF313083801}">
  <sheetPr>
    <tabColor rgb="FFC00000"/>
  </sheetPr>
  <dimension ref="B1:AC80"/>
  <sheetViews>
    <sheetView showGridLines="0" zoomScale="68" workbookViewId="0">
      <pane xSplit="1" ySplit="5" topLeftCell="B14" activePane="bottomRight" state="frozen"/>
      <selection pane="topRight" activeCell="B1" sqref="B1"/>
      <selection pane="bottomLeft" activeCell="A6" sqref="A6"/>
      <selection pane="bottomRight" activeCell="B73" sqref="B73:R73"/>
    </sheetView>
  </sheetViews>
  <sheetFormatPr defaultRowHeight="15.75" customHeight="1" x14ac:dyDescent="0.25"/>
  <cols>
    <col min="1" max="1" width="2.6640625" customWidth="1"/>
    <col min="2" max="2" width="21" customWidth="1"/>
    <col min="3" max="20" width="11.109375" customWidth="1"/>
    <col min="25" max="25" width="8.33203125" customWidth="1"/>
  </cols>
  <sheetData>
    <row r="1" spans="2:29" ht="25.5" customHeight="1" x14ac:dyDescent="0.25">
      <c r="B1" s="95" t="s">
        <v>370</v>
      </c>
      <c r="C1" s="95"/>
      <c r="D1" s="95"/>
      <c r="E1" s="95"/>
      <c r="F1" s="95"/>
      <c r="G1" s="95"/>
      <c r="H1" s="95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Y1" s="40"/>
    </row>
    <row r="2" spans="2:29" ht="21.95" customHeight="1" x14ac:dyDescent="0.25">
      <c r="B2" s="47" t="s">
        <v>371</v>
      </c>
      <c r="C2" s="48"/>
      <c r="D2" s="48"/>
      <c r="E2" s="48"/>
      <c r="F2" s="48"/>
      <c r="G2" s="49"/>
      <c r="H2" s="49"/>
      <c r="I2" s="49"/>
      <c r="J2" s="49"/>
      <c r="K2" s="49"/>
      <c r="L2" s="49"/>
      <c r="M2" s="38"/>
      <c r="N2" s="38"/>
      <c r="O2" s="38"/>
      <c r="P2" s="38"/>
      <c r="Q2" s="38"/>
      <c r="R2" s="38"/>
      <c r="S2" s="38"/>
      <c r="T2" s="38"/>
      <c r="Y2" s="40"/>
    </row>
    <row r="3" spans="2:29" ht="6" customHeight="1" thickBot="1" x14ac:dyDescent="0.3">
      <c r="Y3" s="39">
        <f>MATCH($C$4,$Y$4:$Y$7,0)</f>
        <v>4</v>
      </c>
    </row>
    <row r="4" spans="2:29" ht="27.95" customHeight="1" thickBot="1" x14ac:dyDescent="0.3">
      <c r="B4" s="51" t="s">
        <v>372</v>
      </c>
      <c r="C4" s="52" t="s">
        <v>150</v>
      </c>
      <c r="D4" s="41"/>
      <c r="E4" s="54" t="s">
        <v>373</v>
      </c>
      <c r="F4" s="55"/>
      <c r="G4" s="55"/>
      <c r="H4" s="55"/>
      <c r="I4" s="55"/>
      <c r="J4" s="55"/>
      <c r="Y4" s="40" t="s">
        <v>147</v>
      </c>
    </row>
    <row r="5" spans="2:29" ht="6" customHeight="1" thickBot="1" x14ac:dyDescent="0.3">
      <c r="Y5" s="40" t="s">
        <v>148</v>
      </c>
    </row>
    <row r="6" spans="2:29" ht="21.95" customHeight="1" x14ac:dyDescent="0.3">
      <c r="B6" s="64" t="s">
        <v>374</v>
      </c>
      <c r="C6" s="65"/>
      <c r="D6" s="65"/>
      <c r="E6" s="66"/>
      <c r="G6" s="67" t="s">
        <v>205</v>
      </c>
      <c r="H6" s="68"/>
      <c r="I6" s="68"/>
      <c r="J6" s="69"/>
      <c r="L6" s="67" t="s">
        <v>375</v>
      </c>
      <c r="M6" s="68"/>
      <c r="N6" s="68"/>
      <c r="O6" s="69"/>
      <c r="P6" s="53"/>
      <c r="Q6" s="67" t="s">
        <v>376</v>
      </c>
      <c r="R6" s="68"/>
      <c r="S6" s="68"/>
      <c r="T6" s="69"/>
      <c r="Y6" s="40" t="s">
        <v>149</v>
      </c>
    </row>
    <row r="7" spans="2:29" ht="18" customHeight="1" x14ac:dyDescent="0.25">
      <c r="B7" s="70" t="str">
        <f>$C$4 &amp; "  |  ₹ Crore"</f>
        <v>FY2024  |  ₹ Crore</v>
      </c>
      <c r="C7" s="71"/>
      <c r="D7" s="71"/>
      <c r="E7" s="72"/>
      <c r="G7" s="70" t="str">
        <f>$C$4 &amp; "  |  ₹ Crore"</f>
        <v>FY2024  |  ₹ Crore</v>
      </c>
      <c r="H7" s="71"/>
      <c r="I7" s="71"/>
      <c r="J7" s="72"/>
      <c r="L7" s="70" t="str">
        <f>$C$4 &amp; "  |  ₹ Crore"</f>
        <v>FY2024  |  ₹ Crore</v>
      </c>
      <c r="M7" s="71"/>
      <c r="N7" s="71"/>
      <c r="O7" s="72"/>
      <c r="Q7" s="70" t="str">
        <f>$C$4 &amp; "  |  ₹ Crore"</f>
        <v>FY2024  |  ₹ Crore</v>
      </c>
      <c r="R7" s="71"/>
      <c r="S7" s="71"/>
      <c r="T7" s="72"/>
      <c r="Y7" s="40" t="s">
        <v>150</v>
      </c>
    </row>
    <row r="8" spans="2:29" ht="38.1" customHeight="1" x14ac:dyDescent="0.25">
      <c r="B8" s="61" cm="1">
        <f t="array" ref="B8">INDEX('Detailed Analysis'!$E$6:$H$6,$Y$3)</f>
        <v>23892.78</v>
      </c>
      <c r="C8" s="62"/>
      <c r="D8" s="62"/>
      <c r="E8" s="63"/>
      <c r="G8" s="61" cm="1">
        <f t="array" ref="G8">INDEX('Detailed Analysis'!$E$16:$H$16,$Y$3)</f>
        <v>1222.8499999999999</v>
      </c>
      <c r="H8" s="62"/>
      <c r="I8" s="62"/>
      <c r="J8" s="63"/>
      <c r="L8" s="61" cm="1">
        <f t="array" ref="L8">INDEX('Detailed Analysis'!$E$26:$H$26,$Y$3)</f>
        <v>282.22000000000003</v>
      </c>
      <c r="M8" s="62"/>
      <c r="N8" s="62"/>
      <c r="O8" s="63"/>
      <c r="Q8" s="61" cm="1">
        <f t="array" ref="Q8">INDEX('Detailed Analysis'!$E$85:$H$85,$Y$3)</f>
        <v>-3945.4</v>
      </c>
      <c r="R8" s="62"/>
      <c r="S8" s="62"/>
      <c r="T8" s="63"/>
      <c r="Y8" s="40"/>
    </row>
    <row r="9" spans="2:29" ht="21.95" customHeight="1" thickBot="1" x14ac:dyDescent="0.3">
      <c r="B9" s="73" cm="1">
        <f t="array" ref="B9">IFERROR((INDEX('Detailed Analysis'!$E$6:$H$6,$Y$3)-INDEX('Detailed Analysis'!$E$6:$H$6,$Y$3-1))/ABS(INDEX('Detailed Analysis'!$E$6:$H$6,$Y$3-1)),"")</f>
        <v>2.2591113009492007E-2</v>
      </c>
      <c r="C9" s="74"/>
      <c r="D9" s="74"/>
      <c r="E9" s="75"/>
      <c r="G9" s="73" cm="1">
        <f t="array" ref="G9">IFERROR((INDEX('Detailed Analysis'!$E$16:$H$16,$Y$3)-INDEX('Detailed Analysis'!$E$16:$H$16,$Y$3-1))/ABS(INDEX('Detailed Analysis'!$E$16:$H$16,$Y$3-1)),"")</f>
        <v>-3.0415236162098229E-2</v>
      </c>
      <c r="H9" s="74"/>
      <c r="I9" s="74"/>
      <c r="J9" s="75"/>
      <c r="L9" s="73" cm="1">
        <f t="array" ref="L9">IFERROR((INDEX('Detailed Analysis'!$E$26:$H$26,$Y$3)-INDEX('Detailed Analysis'!$E$26:$H$26,$Y$3-1))/ABS(INDEX('Detailed Analysis'!$E$26:$H$26,$Y$3-1)),"")</f>
        <v>-0.40882716437294447</v>
      </c>
      <c r="M9" s="74"/>
      <c r="N9" s="74"/>
      <c r="O9" s="75"/>
      <c r="Q9" s="58" cm="1">
        <f t="array" ref="Q9">IFERROR(INDEX('Detailed Analysis'!$E$85:$H$85,$Y$3)-INDEX('Detailed Analysis'!$E$85:$H$85,$Y$3-1),"")</f>
        <v>-3015.48</v>
      </c>
      <c r="R9" s="59"/>
      <c r="S9" s="59"/>
      <c r="T9" s="60"/>
      <c r="Y9" s="40"/>
    </row>
    <row r="10" spans="2:29" ht="8.1" customHeight="1" thickBot="1" x14ac:dyDescent="0.35">
      <c r="Q10" s="53"/>
      <c r="Y10" s="40" t="s">
        <v>382</v>
      </c>
      <c r="Z10" s="40"/>
      <c r="AA10" s="40"/>
      <c r="AB10" s="40"/>
      <c r="AC10" s="40"/>
    </row>
    <row r="11" spans="2:29" ht="21.95" customHeight="1" x14ac:dyDescent="0.25">
      <c r="B11" s="67" t="s">
        <v>377</v>
      </c>
      <c r="C11" s="68"/>
      <c r="D11" s="68"/>
      <c r="E11" s="69"/>
      <c r="G11" s="67" t="s">
        <v>378</v>
      </c>
      <c r="H11" s="68"/>
      <c r="I11" s="68"/>
      <c r="J11" s="69"/>
      <c r="L11" s="67" t="s">
        <v>379</v>
      </c>
      <c r="M11" s="68"/>
      <c r="N11" s="68"/>
      <c r="O11" s="69"/>
      <c r="Q11" s="67" t="s">
        <v>380</v>
      </c>
      <c r="R11" s="68"/>
      <c r="S11" s="68"/>
      <c r="T11" s="69"/>
      <c r="Y11" s="40"/>
      <c r="Z11" s="40" t="s">
        <v>147</v>
      </c>
      <c r="AA11" s="40" t="s">
        <v>148</v>
      </c>
      <c r="AB11" s="40" t="s">
        <v>149</v>
      </c>
      <c r="AC11" s="40" t="s">
        <v>150</v>
      </c>
    </row>
    <row r="12" spans="2:29" ht="18" customHeight="1" x14ac:dyDescent="0.25">
      <c r="B12" s="70" t="str">
        <f>$C$4 &amp; "  |  ₹ Crore"</f>
        <v>FY2024  |  ₹ Crore</v>
      </c>
      <c r="C12" s="71"/>
      <c r="D12" s="71"/>
      <c r="E12" s="72"/>
      <c r="G12" s="70" t="str">
        <f>$C$4 &amp; "  |  ROE"</f>
        <v>FY2024  |  ROE</v>
      </c>
      <c r="H12" s="71"/>
      <c r="I12" s="71"/>
      <c r="J12" s="72"/>
      <c r="L12" s="70" t="str">
        <f>$C$4 &amp; "  |  Liquidity"</f>
        <v>FY2024  |  Liquidity</v>
      </c>
      <c r="M12" s="71"/>
      <c r="N12" s="71"/>
      <c r="O12" s="72"/>
      <c r="Q12" s="70" t="str">
        <f>$C$4 &amp; "  |  Leverage (lower is better)"</f>
        <v>FY2024  |  Leverage (lower is better)</v>
      </c>
      <c r="R12" s="71"/>
      <c r="S12" s="71"/>
      <c r="T12" s="72"/>
      <c r="Y12" s="40" t="s">
        <v>151</v>
      </c>
      <c r="Z12" s="42">
        <f>'Detailed Analysis'!E6</f>
        <v>17308.689999999999</v>
      </c>
      <c r="AA12" s="42">
        <f>'Detailed Analysis'!F6</f>
        <v>21211.09</v>
      </c>
      <c r="AB12" s="42">
        <f>'Detailed Analysis'!G6</f>
        <v>23364.94</v>
      </c>
      <c r="AC12" s="42">
        <f>'Detailed Analysis'!H6</f>
        <v>23892.78</v>
      </c>
    </row>
    <row r="13" spans="2:29" ht="38.1" customHeight="1" x14ac:dyDescent="0.25">
      <c r="B13" s="61" cm="1">
        <f t="array" ref="B13">INDEX('Detailed Analysis'!$E$38:$H$38,$Y$3)</f>
        <v>-2698.9899999999989</v>
      </c>
      <c r="C13" s="62"/>
      <c r="D13" s="62"/>
      <c r="E13" s="63"/>
      <c r="G13" s="88" cm="1">
        <f t="array" ref="G13">INDEX('Detailed Analysis'!$E$76:$H$76,$Y$3)</f>
        <v>1.1009880101461613E-2</v>
      </c>
      <c r="H13" s="89"/>
      <c r="I13" s="89"/>
      <c r="J13" s="90"/>
      <c r="L13" s="76" cm="1">
        <f t="array" ref="L13">INDEX('Detailed Analysis'!$E$46:$H$46,$Y$3)</f>
        <v>1.3636743668287754</v>
      </c>
      <c r="M13" s="77"/>
      <c r="N13" s="77"/>
      <c r="O13" s="78"/>
      <c r="Q13" s="76" cm="1">
        <f t="array" ref="Q13">INDEX('Detailed Analysis'!$E$56:$H$56,$Y$3)</f>
        <v>7.2424745471644112</v>
      </c>
      <c r="R13" s="77"/>
      <c r="S13" s="77"/>
      <c r="T13" s="78"/>
      <c r="Y13" s="40" t="s">
        <v>205</v>
      </c>
      <c r="Z13" s="42">
        <f>'Detailed Analysis'!E16</f>
        <v>-2748.73</v>
      </c>
      <c r="AA13" s="42">
        <f>'Detailed Analysis'!F16</f>
        <v>1140.54</v>
      </c>
      <c r="AB13" s="42">
        <f>'Detailed Analysis'!G16</f>
        <v>1261.2099999999998</v>
      </c>
      <c r="AC13" s="42">
        <f>'Detailed Analysis'!H16</f>
        <v>1222.8499999999999</v>
      </c>
    </row>
    <row r="14" spans="2:29" ht="21.95" customHeight="1" thickBot="1" x14ac:dyDescent="0.3">
      <c r="B14" s="58" cm="1">
        <f t="array" ref="B14">IFERROR(INDEX('Detailed Analysis'!$E$38:$H$38,$Y$3)-INDEX('Detailed Analysis'!$E$38:$H$38,$Y$3-1),"")</f>
        <v>-3888.0599999999986</v>
      </c>
      <c r="C14" s="59"/>
      <c r="D14" s="59"/>
      <c r="E14" s="60"/>
      <c r="G14" s="85" cm="1">
        <f t="array" ref="G14">IFERROR(INDEX('Detailed Analysis'!$E$76:$H$76,$Y$3)-INDEX('Detailed Analysis'!$E$76:$H$76,$Y$3-1),"")</f>
        <v>-6.8918096637059709E-3</v>
      </c>
      <c r="H14" s="86"/>
      <c r="I14" s="86"/>
      <c r="J14" s="87"/>
      <c r="L14" s="79" cm="1">
        <f t="array" ref="L14">IFERROR(INDEX('Detailed Analysis'!$E$46:$H$46,$Y$3)-INDEX('Detailed Analysis'!$E$46:$H$46,$Y$3-1),"")</f>
        <v>7.5433470335882546E-2</v>
      </c>
      <c r="M14" s="80"/>
      <c r="N14" s="80"/>
      <c r="O14" s="81"/>
      <c r="Q14" s="82" cm="1">
        <f t="array" ref="Q14">IFERROR(INDEX('Detailed Analysis'!$E$56:$H$56,$Y$3)-INDEX('Detailed Analysis'!$E$56:$H$56,$Y$3-1),"")</f>
        <v>2.9184444490839958</v>
      </c>
      <c r="R14" s="83"/>
      <c r="S14" s="83"/>
      <c r="T14" s="84"/>
      <c r="Y14" s="40" t="s">
        <v>383</v>
      </c>
      <c r="Z14" s="42">
        <f>'Detailed Analysis'!E26</f>
        <v>-2699.7</v>
      </c>
      <c r="AA14" s="42">
        <f>'Detailed Analysis'!F26</f>
        <v>444.71</v>
      </c>
      <c r="AB14" s="42">
        <f>'Detailed Analysis'!G26</f>
        <v>477.39</v>
      </c>
      <c r="AC14" s="42">
        <f>'Detailed Analysis'!H26</f>
        <v>282.22000000000003</v>
      </c>
    </row>
    <row r="15" spans="2:29" ht="9.9499999999999993" customHeight="1" x14ac:dyDescent="0.25">
      <c r="Y15" s="40" t="s">
        <v>207</v>
      </c>
      <c r="Z15" s="43">
        <f>'Detailed Analysis'!E17</f>
        <v>-0.15880635680689875</v>
      </c>
      <c r="AA15" s="43">
        <f>'Detailed Analysis'!F17</f>
        <v>5.3770928320986802E-2</v>
      </c>
      <c r="AB15" s="43">
        <f>'Detailed Analysis'!G17</f>
        <v>5.3978739085142093E-2</v>
      </c>
      <c r="AC15" s="43">
        <f>'Detailed Analysis'!H17</f>
        <v>5.1180733259168665E-2</v>
      </c>
    </row>
    <row r="16" spans="2:29" ht="21.95" customHeight="1" x14ac:dyDescent="0.25">
      <c r="B16" s="56" t="s">
        <v>381</v>
      </c>
      <c r="C16" s="56"/>
      <c r="D16" s="56"/>
      <c r="E16" s="56"/>
      <c r="F16" s="56"/>
      <c r="G16" s="56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Y16" s="40" t="s">
        <v>160</v>
      </c>
      <c r="Z16" s="43">
        <f>'Detailed Analysis'!E27</f>
        <v>-0.15597367565078582</v>
      </c>
      <c r="AA16" s="43">
        <f>'Detailed Analysis'!F27</f>
        <v>2.0965919243188351E-2</v>
      </c>
      <c r="AB16" s="43">
        <f>'Detailed Analysis'!G27</f>
        <v>2.0431894967416993E-2</v>
      </c>
      <c r="AC16" s="43">
        <f>'Detailed Analysis'!H27</f>
        <v>1.1811936492948918E-2</v>
      </c>
    </row>
    <row r="17" spans="25:29" ht="15.95" customHeight="1" x14ac:dyDescent="0.25">
      <c r="Y17" s="40" t="s">
        <v>199</v>
      </c>
      <c r="Z17" s="43">
        <f>'Detailed Analysis'!E13</f>
        <v>0.31418091143812732</v>
      </c>
      <c r="AA17" s="43">
        <f>'Detailed Analysis'!F13</f>
        <v>0.30254220787333408</v>
      </c>
      <c r="AB17" s="43">
        <f>'Detailed Analysis'!G13</f>
        <v>0.30234274087585922</v>
      </c>
      <c r="AC17" s="43">
        <f>'Detailed Analysis'!H13</f>
        <v>0.29656113687900704</v>
      </c>
    </row>
    <row r="18" spans="25:29" ht="15.95" customHeight="1" x14ac:dyDescent="0.25">
      <c r="Y18" s="40" t="s">
        <v>384</v>
      </c>
      <c r="Z18" s="42">
        <f>'Detailed Analysis'!E81</f>
        <v>559.95000000000005</v>
      </c>
      <c r="AA18" s="42">
        <f>'Detailed Analysis'!F81</f>
        <v>660.25</v>
      </c>
      <c r="AB18" s="42">
        <f>'Detailed Analysis'!G81</f>
        <v>-741.52</v>
      </c>
      <c r="AC18" s="42">
        <f>'Detailed Analysis'!H81</f>
        <v>-3712.9</v>
      </c>
    </row>
    <row r="19" spans="25:29" ht="15.95" customHeight="1" x14ac:dyDescent="0.25">
      <c r="Y19" s="40" t="s">
        <v>385</v>
      </c>
      <c r="Z19" s="42">
        <f>'Detailed Analysis'!E87</f>
        <v>-42.5</v>
      </c>
      <c r="AA19" s="42">
        <f>'Detailed Analysis'!F87</f>
        <v>-1125.32</v>
      </c>
      <c r="AB19" s="42">
        <f>'Detailed Analysis'!G87</f>
        <v>1480.46</v>
      </c>
      <c r="AC19" s="42">
        <f>'Detailed Analysis'!H87</f>
        <v>1330.86</v>
      </c>
    </row>
    <row r="20" spans="25:29" ht="15.95" customHeight="1" x14ac:dyDescent="0.25">
      <c r="Y20" s="40" t="s">
        <v>386</v>
      </c>
      <c r="Z20" s="42">
        <f>'Detailed Analysis'!E88</f>
        <v>-394.15</v>
      </c>
      <c r="AA20" s="42">
        <f>'Detailed Analysis'!F88</f>
        <v>-329.49</v>
      </c>
      <c r="AB20" s="42">
        <f>'Detailed Analysis'!G88</f>
        <v>88.96</v>
      </c>
      <c r="AC20" s="42">
        <f>'Detailed Analysis'!H88</f>
        <v>2655.74</v>
      </c>
    </row>
    <row r="21" spans="25:29" ht="15.95" customHeight="1" x14ac:dyDescent="0.25">
      <c r="Y21" s="40" t="s">
        <v>387</v>
      </c>
      <c r="Z21" s="42">
        <f>'Detailed Analysis'!E85</f>
        <v>309.60000000000002</v>
      </c>
      <c r="AA21" s="42">
        <f>'Detailed Analysis'!F85</f>
        <v>490.87</v>
      </c>
      <c r="AB21" s="42">
        <f>'Detailed Analysis'!G85</f>
        <v>-929.92</v>
      </c>
      <c r="AC21" s="42">
        <f>'Detailed Analysis'!H85</f>
        <v>-3945.4</v>
      </c>
    </row>
    <row r="22" spans="25:29" ht="15.95" customHeight="1" x14ac:dyDescent="0.25">
      <c r="Y22" s="40" t="s">
        <v>169</v>
      </c>
      <c r="Z22" s="42">
        <f>'Detailed Analysis'!E36</f>
        <v>6701.4500000000007</v>
      </c>
      <c r="AA22" s="42">
        <f>'Detailed Analysis'!F36</f>
        <v>7153.69</v>
      </c>
      <c r="AB22" s="42">
        <f>'Detailed Analysis'!G36</f>
        <v>6642.58</v>
      </c>
      <c r="AC22" s="42">
        <f>'Detailed Analysis'!H36</f>
        <v>6157.47</v>
      </c>
    </row>
    <row r="23" spans="25:29" ht="15.95" customHeight="1" x14ac:dyDescent="0.25">
      <c r="Y23" s="40" t="s">
        <v>170</v>
      </c>
      <c r="Z23" s="42">
        <f>'Detailed Analysis'!E37</f>
        <v>4950.8899999999994</v>
      </c>
      <c r="AA23" s="42">
        <f>'Detailed Analysis'!F37</f>
        <v>4829.93</v>
      </c>
      <c r="AB23" s="42">
        <f>'Detailed Analysis'!G37</f>
        <v>5453.51</v>
      </c>
      <c r="AC23" s="42">
        <f>'Detailed Analysis'!H37</f>
        <v>8856.4599999999991</v>
      </c>
    </row>
    <row r="24" spans="25:29" ht="15.95" customHeight="1" x14ac:dyDescent="0.25">
      <c r="Y24" s="40" t="s">
        <v>388</v>
      </c>
      <c r="Z24" s="42">
        <f>'Detailed Analysis'!E38</f>
        <v>1750.5600000000013</v>
      </c>
      <c r="AA24" s="42">
        <f>'Detailed Analysis'!F38</f>
        <v>2323.7599999999993</v>
      </c>
      <c r="AB24" s="42">
        <f>'Detailed Analysis'!G38</f>
        <v>1189.0699999999997</v>
      </c>
      <c r="AC24" s="42">
        <f>'Detailed Analysis'!H38</f>
        <v>-2698.9899999999989</v>
      </c>
    </row>
    <row r="25" spans="25:29" ht="15.95" customHeight="1" x14ac:dyDescent="0.25">
      <c r="Y25" s="40" t="s">
        <v>37</v>
      </c>
      <c r="Z25" s="42">
        <f>'Detailed Analysis'!E40</f>
        <v>25972</v>
      </c>
      <c r="AA25" s="42">
        <f>'Detailed Analysis'!F40</f>
        <v>26506.6</v>
      </c>
      <c r="AB25" s="42">
        <f>'Detailed Analysis'!G40</f>
        <v>26828.03</v>
      </c>
      <c r="AC25" s="42">
        <f>'Detailed Analysis'!H40</f>
        <v>24438.65</v>
      </c>
    </row>
    <row r="26" spans="25:29" ht="15.95" customHeight="1" x14ac:dyDescent="0.25">
      <c r="Y26" s="40" t="s">
        <v>168</v>
      </c>
      <c r="Z26" s="44">
        <f>'Detailed Analysis'!E46</f>
        <v>1.3923008113587276</v>
      </c>
      <c r="AA26" s="44">
        <f>'Detailed Analysis'!F46</f>
        <v>1.3037192663941808</v>
      </c>
      <c r="AB26" s="44">
        <f>'Detailed Analysis'!G46</f>
        <v>1.2882408964928929</v>
      </c>
      <c r="AC26" s="44">
        <f>'Detailed Analysis'!H46</f>
        <v>1.3636743668287754</v>
      </c>
    </row>
    <row r="27" spans="25:29" ht="15.95" customHeight="1" x14ac:dyDescent="0.25">
      <c r="Y27" s="40" t="s">
        <v>239</v>
      </c>
      <c r="Z27" s="44">
        <f>'Detailed Analysis'!E47</f>
        <v>1.0388903980457047</v>
      </c>
      <c r="AA27" s="44">
        <f>'Detailed Analysis'!F47</f>
        <v>0.99675356730919951</v>
      </c>
      <c r="AB27" s="44">
        <f>'Detailed Analysis'!G47</f>
        <v>0.9989268327777644</v>
      </c>
      <c r="AC27" s="44">
        <f>'Detailed Analysis'!H47</f>
        <v>1.0786458662287628</v>
      </c>
    </row>
    <row r="28" spans="25:29" ht="15.95" customHeight="1" x14ac:dyDescent="0.25">
      <c r="Y28" s="40" t="s">
        <v>185</v>
      </c>
      <c r="Z28" s="44">
        <f>'Detailed Analysis'!E48</f>
        <v>0.32919294932851806</v>
      </c>
      <c r="AA28" s="44">
        <f>'Detailed Analysis'!F48</f>
        <v>0.33473584715843552</v>
      </c>
      <c r="AB28" s="44">
        <f>'Detailed Analysis'!G48</f>
        <v>0.28446125806374256</v>
      </c>
      <c r="AC28" s="44">
        <f>'Detailed Analysis'!H48</f>
        <v>0.24306314343459864</v>
      </c>
    </row>
    <row r="29" spans="25:29" ht="15.95" customHeight="1" x14ac:dyDescent="0.25">
      <c r="Y29" s="40" t="s">
        <v>389</v>
      </c>
      <c r="Z29" s="44">
        <f>'Detailed Analysis'!E52</f>
        <v>0.1906241336824272</v>
      </c>
      <c r="AA29" s="44">
        <f>'Detailed Analysis'!F52</f>
        <v>0.18221612730414313</v>
      </c>
      <c r="AB29" s="44">
        <f>'Detailed Analysis'!G52</f>
        <v>0.20327657304692145</v>
      </c>
      <c r="AC29" s="44">
        <f>'Detailed Analysis'!H52</f>
        <v>0.36239563150992377</v>
      </c>
    </row>
    <row r="30" spans="25:29" ht="15.95" customHeight="1" x14ac:dyDescent="0.25">
      <c r="Y30" s="40" t="s">
        <v>390</v>
      </c>
      <c r="Z30" s="44">
        <f>'Detailed Analysis'!E56</f>
        <v>-1.8011554426953535</v>
      </c>
      <c r="AA30" s="44">
        <f>'Detailed Analysis'!F56</f>
        <v>4.23477475581742</v>
      </c>
      <c r="AB30" s="44">
        <f>'Detailed Analysis'!G56</f>
        <v>4.3240300980804154</v>
      </c>
      <c r="AC30" s="44">
        <f>'Detailed Analysis'!H56</f>
        <v>7.2424745471644112</v>
      </c>
    </row>
    <row r="31" spans="25:29" ht="15.95" customHeight="1" x14ac:dyDescent="0.25">
      <c r="Y31" s="40" t="s">
        <v>391</v>
      </c>
      <c r="Z31" s="45">
        <f>'Detailed Analysis'!E62</f>
        <v>85.090237909396961</v>
      </c>
      <c r="AA31" s="45">
        <f>'Detailed Analysis'!F62</f>
        <v>52.049835722728055</v>
      </c>
      <c r="AB31" s="45">
        <f>'Detailed Analysis'!G62</f>
        <v>48.870134055555035</v>
      </c>
      <c r="AC31" s="45">
        <f>'Detailed Analysis'!H62</f>
        <v>73.104247391889942</v>
      </c>
    </row>
    <row r="32" spans="25:29" ht="15.95" customHeight="1" x14ac:dyDescent="0.25">
      <c r="Y32" s="40" t="s">
        <v>392</v>
      </c>
      <c r="Z32" s="45">
        <f>'Detailed Analysis'!E63</f>
        <v>151.71421118524859</v>
      </c>
      <c r="AA32" s="45">
        <f>'Detailed Analysis'!F63</f>
        <v>112.88795861033073</v>
      </c>
      <c r="AB32" s="45">
        <f>'Detailed Analysis'!G63</f>
        <v>105.53861897355611</v>
      </c>
      <c r="AC32" s="45">
        <f>'Detailed Analysis'!H63</f>
        <v>110.30562579992784</v>
      </c>
    </row>
    <row r="33" spans="2:29" ht="15.95" customHeight="1" x14ac:dyDescent="0.25">
      <c r="Y33" s="40" t="s">
        <v>393</v>
      </c>
      <c r="Z33" s="45">
        <f>'Detailed Analysis'!E64</f>
        <v>140.88316042404134</v>
      </c>
      <c r="AA33" s="45">
        <f>'Detailed Analysis'!F64</f>
        <v>133.35478516191296</v>
      </c>
      <c r="AB33" s="45">
        <f>'Detailed Analysis'!G64</f>
        <v>154.58965227387702</v>
      </c>
      <c r="AC33" s="45">
        <f>'Detailed Analysis'!H64</f>
        <v>132.84881876449705</v>
      </c>
    </row>
    <row r="34" spans="2:29" ht="15.95" customHeight="1" x14ac:dyDescent="0.25">
      <c r="Y34" s="40" t="s">
        <v>394</v>
      </c>
      <c r="Z34" s="45">
        <f>'Detailed Analysis'!E65</f>
        <v>95.921288670604213</v>
      </c>
      <c r="AA34" s="45">
        <f>'Detailed Analysis'!F65</f>
        <v>31.583009171145818</v>
      </c>
      <c r="AB34" s="45">
        <f>'Detailed Analysis'!G65</f>
        <v>-0.18089924476586816</v>
      </c>
      <c r="AC34" s="45">
        <f>'Detailed Analysis'!H65</f>
        <v>50.561054427320727</v>
      </c>
    </row>
    <row r="35" spans="2:29" ht="15.95" customHeight="1" x14ac:dyDescent="0.25">
      <c r="Y35" s="40" t="s">
        <v>175</v>
      </c>
      <c r="Z35" s="43">
        <f>'Detailed Analysis'!E75</f>
        <v>-4.8872008270786804E-2</v>
      </c>
      <c r="AA35" s="43">
        <f>'Detailed Analysis'!F75</f>
        <v>7.9780079593505682E-3</v>
      </c>
      <c r="AB35" s="43">
        <f>'Detailed Analysis'!G75</f>
        <v>8.2583745590374142E-3</v>
      </c>
      <c r="AC35" s="43">
        <f>'Detailed Analysis'!H75</f>
        <v>4.7682248550352021E-3</v>
      </c>
    </row>
    <row r="36" spans="2:29" ht="15.95" customHeight="1" x14ac:dyDescent="0.25">
      <c r="Y36" s="40" t="s">
        <v>176</v>
      </c>
      <c r="Z36" s="43">
        <f>'Detailed Analysis'!E76</f>
        <v>-0.10394655783151086</v>
      </c>
      <c r="AA36" s="43">
        <f>'Detailed Analysis'!F76</f>
        <v>1.6948241759498158E-2</v>
      </c>
      <c r="AB36" s="43">
        <f>'Detailed Analysis'!G76</f>
        <v>1.7901689765167584E-2</v>
      </c>
      <c r="AC36" s="43">
        <f>'Detailed Analysis'!H76</f>
        <v>1.1009880101461613E-2</v>
      </c>
    </row>
    <row r="37" spans="2:29" ht="15.95" customHeight="1" x14ac:dyDescent="0.25">
      <c r="Y37" s="40" t="s">
        <v>395</v>
      </c>
      <c r="Z37" s="43">
        <f>'Detailed Analysis'!E77</f>
        <v>-9.2365335550268046E-2</v>
      </c>
      <c r="AA37" s="43">
        <f>'Detailed Analysis'!F77</f>
        <v>2.3694725055088756E-2</v>
      </c>
      <c r="AB37" s="43">
        <f>'Detailed Analysis'!G77</f>
        <v>2.8236886621368924E-2</v>
      </c>
      <c r="AC37" s="43">
        <f>'Detailed Analysis'!H77</f>
        <v>2.7950504404798029E-2</v>
      </c>
    </row>
    <row r="38" spans="2:29" ht="15.95" customHeight="1" x14ac:dyDescent="0.25"/>
    <row r="39" spans="2:29" ht="9.9499999999999993" customHeight="1" x14ac:dyDescent="0.25"/>
    <row r="40" spans="2:29" ht="21.95" customHeight="1" x14ac:dyDescent="0.25">
      <c r="B40" s="56" t="s">
        <v>396</v>
      </c>
      <c r="C40" s="56"/>
      <c r="D40" s="56"/>
      <c r="E40" s="56"/>
      <c r="F40" s="56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</row>
    <row r="41" spans="2:29" ht="15.95" customHeight="1" x14ac:dyDescent="0.25"/>
    <row r="42" spans="2:29" ht="15.95" customHeight="1" x14ac:dyDescent="0.25"/>
    <row r="43" spans="2:29" ht="15.95" customHeight="1" x14ac:dyDescent="0.25"/>
    <row r="44" spans="2:29" ht="15.95" customHeight="1" x14ac:dyDescent="0.25"/>
    <row r="45" spans="2:29" ht="15.95" customHeight="1" x14ac:dyDescent="0.25"/>
    <row r="46" spans="2:29" ht="15.95" customHeight="1" x14ac:dyDescent="0.25"/>
    <row r="47" spans="2:29" ht="15.95" customHeight="1" x14ac:dyDescent="0.25"/>
    <row r="48" spans="2:29" ht="15.95" customHeight="1" x14ac:dyDescent="0.25"/>
    <row r="49" spans="2:20" ht="15.95" customHeight="1" x14ac:dyDescent="0.25"/>
    <row r="50" spans="2:20" ht="15.95" customHeight="1" x14ac:dyDescent="0.25"/>
    <row r="51" spans="2:20" ht="15.95" customHeight="1" x14ac:dyDescent="0.25"/>
    <row r="52" spans="2:20" ht="15.95" customHeight="1" x14ac:dyDescent="0.25"/>
    <row r="53" spans="2:20" ht="15.95" customHeight="1" x14ac:dyDescent="0.25"/>
    <row r="54" spans="2:20" ht="15.95" customHeight="1" x14ac:dyDescent="0.25"/>
    <row r="55" spans="2:20" ht="15.95" customHeight="1" x14ac:dyDescent="0.25"/>
    <row r="56" spans="2:20" ht="15.95" customHeight="1" x14ac:dyDescent="0.25"/>
    <row r="57" spans="2:20" ht="15.95" customHeight="1" x14ac:dyDescent="0.25"/>
    <row r="58" spans="2:20" ht="15.95" customHeight="1" x14ac:dyDescent="0.25"/>
    <row r="59" spans="2:20" ht="15.95" customHeight="1" x14ac:dyDescent="0.25"/>
    <row r="60" spans="2:20" ht="15.95" customHeight="1" x14ac:dyDescent="0.25"/>
    <row r="61" spans="2:20" ht="9.9499999999999993" customHeight="1" x14ac:dyDescent="0.25"/>
    <row r="62" spans="2:20" ht="22.5" customHeight="1" thickBot="1" x14ac:dyDescent="0.3">
      <c r="B62" s="57" t="s">
        <v>397</v>
      </c>
      <c r="C62" s="57"/>
      <c r="D62" s="57"/>
      <c r="E62" s="57"/>
      <c r="F62" s="57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</row>
    <row r="63" spans="2:20" ht="21.95" customHeight="1" x14ac:dyDescent="0.25">
      <c r="B63" s="108" t="s">
        <v>398</v>
      </c>
      <c r="C63" s="109"/>
      <c r="D63" s="109"/>
      <c r="E63" s="109"/>
      <c r="F63" s="110"/>
      <c r="H63" s="111" t="s">
        <v>400</v>
      </c>
      <c r="I63" s="112"/>
      <c r="J63" s="112"/>
      <c r="K63" s="112"/>
      <c r="L63" s="113"/>
      <c r="N63" s="111" t="s">
        <v>402</v>
      </c>
      <c r="O63" s="112"/>
      <c r="P63" s="112"/>
      <c r="Q63" s="112"/>
      <c r="R63" s="113"/>
    </row>
    <row r="64" spans="2:20" ht="70.5" customHeight="1" thickBot="1" x14ac:dyDescent="0.3">
      <c r="B64" s="99" t="s">
        <v>399</v>
      </c>
      <c r="C64" s="100"/>
      <c r="D64" s="100"/>
      <c r="E64" s="100"/>
      <c r="F64" s="101"/>
      <c r="H64" s="102" t="s">
        <v>401</v>
      </c>
      <c r="I64" s="103"/>
      <c r="J64" s="103"/>
      <c r="K64" s="103"/>
      <c r="L64" s="104"/>
      <c r="N64" s="102" t="s">
        <v>403</v>
      </c>
      <c r="O64" s="103"/>
      <c r="P64" s="103"/>
      <c r="Q64" s="103"/>
      <c r="R64" s="104"/>
    </row>
    <row r="65" spans="2:18" ht="8.1" customHeight="1" thickBot="1" x14ac:dyDescent="0.3"/>
    <row r="66" spans="2:18" ht="21.95" customHeight="1" x14ac:dyDescent="0.25">
      <c r="B66" s="114" t="s">
        <v>404</v>
      </c>
      <c r="C66" s="115"/>
      <c r="D66" s="115"/>
      <c r="E66" s="115"/>
      <c r="F66" s="116"/>
      <c r="H66" s="114" t="s">
        <v>406</v>
      </c>
      <c r="I66" s="115"/>
      <c r="J66" s="115"/>
      <c r="K66" s="115"/>
      <c r="L66" s="116"/>
      <c r="N66" s="108" t="s">
        <v>408</v>
      </c>
      <c r="O66" s="109"/>
      <c r="P66" s="109"/>
      <c r="Q66" s="109"/>
      <c r="R66" s="110"/>
    </row>
    <row r="67" spans="2:18" ht="60" customHeight="1" thickBot="1" x14ac:dyDescent="0.3">
      <c r="B67" s="105" t="s">
        <v>405</v>
      </c>
      <c r="C67" s="106"/>
      <c r="D67" s="106"/>
      <c r="E67" s="106"/>
      <c r="F67" s="107"/>
      <c r="H67" s="105" t="s">
        <v>407</v>
      </c>
      <c r="I67" s="106"/>
      <c r="J67" s="106"/>
      <c r="K67" s="106"/>
      <c r="L67" s="107"/>
      <c r="N67" s="99" t="s">
        <v>409</v>
      </c>
      <c r="O67" s="100"/>
      <c r="P67" s="100"/>
      <c r="Q67" s="100"/>
      <c r="R67" s="101"/>
    </row>
    <row r="68" spans="2:18" ht="8.1" customHeight="1" thickBot="1" x14ac:dyDescent="0.3"/>
    <row r="69" spans="2:18" ht="21.95" customHeight="1" x14ac:dyDescent="0.25">
      <c r="B69" s="96" t="s">
        <v>410</v>
      </c>
      <c r="C69" s="97"/>
      <c r="D69" s="97"/>
      <c r="E69" s="97"/>
      <c r="F69" s="98"/>
      <c r="H69" s="96" t="s">
        <v>412</v>
      </c>
      <c r="I69" s="97"/>
      <c r="J69" s="97"/>
      <c r="K69" s="97"/>
      <c r="L69" s="98"/>
      <c r="N69" s="96" t="s">
        <v>414</v>
      </c>
      <c r="O69" s="97"/>
      <c r="P69" s="97"/>
      <c r="Q69" s="97"/>
      <c r="R69" s="98"/>
    </row>
    <row r="70" spans="2:18" ht="74.25" customHeight="1" thickBot="1" x14ac:dyDescent="0.3">
      <c r="B70" s="91" t="s">
        <v>411</v>
      </c>
      <c r="C70" s="92"/>
      <c r="D70" s="92"/>
      <c r="E70" s="92"/>
      <c r="F70" s="93"/>
      <c r="H70" s="91" t="s">
        <v>413</v>
      </c>
      <c r="I70" s="92"/>
      <c r="J70" s="92"/>
      <c r="K70" s="92"/>
      <c r="L70" s="93"/>
      <c r="N70" s="91" t="s">
        <v>415</v>
      </c>
      <c r="O70" s="92"/>
      <c r="P70" s="92"/>
      <c r="Q70" s="92"/>
      <c r="R70" s="93"/>
    </row>
    <row r="71" spans="2:18" ht="8.1" customHeight="1" x14ac:dyDescent="0.25"/>
    <row r="72" spans="2:18" ht="21.95" customHeight="1" x14ac:dyDescent="0.25">
      <c r="B72" s="46" t="s">
        <v>416</v>
      </c>
    </row>
    <row r="73" spans="2:18" ht="50.1" customHeight="1" x14ac:dyDescent="0.25">
      <c r="B73" s="94" t="s">
        <v>417</v>
      </c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</row>
    <row r="74" spans="2:18" ht="15.95" customHeight="1" x14ac:dyDescent="0.25"/>
    <row r="75" spans="2:18" ht="15.95" customHeight="1" x14ac:dyDescent="0.25"/>
    <row r="76" spans="2:18" ht="15.95" customHeight="1" x14ac:dyDescent="0.25"/>
    <row r="77" spans="2:18" ht="15.95" customHeight="1" x14ac:dyDescent="0.25"/>
    <row r="78" spans="2:18" ht="15.95" customHeight="1" x14ac:dyDescent="0.25"/>
    <row r="79" spans="2:18" ht="15.95" customHeight="1" x14ac:dyDescent="0.25"/>
    <row r="80" spans="2:18" ht="15.95" customHeight="1" x14ac:dyDescent="0.25"/>
  </sheetData>
  <mergeCells count="56">
    <mergeCell ref="H67:L67"/>
    <mergeCell ref="N67:R67"/>
    <mergeCell ref="B63:F63"/>
    <mergeCell ref="H63:L63"/>
    <mergeCell ref="N63:R63"/>
    <mergeCell ref="B66:F66"/>
    <mergeCell ref="H66:L66"/>
    <mergeCell ref="N66:R66"/>
    <mergeCell ref="B70:F70"/>
    <mergeCell ref="H70:L70"/>
    <mergeCell ref="N70:R70"/>
    <mergeCell ref="B73:R73"/>
    <mergeCell ref="B1:H1"/>
    <mergeCell ref="B11:E11"/>
    <mergeCell ref="G11:J11"/>
    <mergeCell ref="L11:O11"/>
    <mergeCell ref="Q11:T11"/>
    <mergeCell ref="B69:F69"/>
    <mergeCell ref="H69:L69"/>
    <mergeCell ref="N69:R69"/>
    <mergeCell ref="B64:F64"/>
    <mergeCell ref="H64:L64"/>
    <mergeCell ref="N64:R64"/>
    <mergeCell ref="B67:F67"/>
    <mergeCell ref="B13:E13"/>
    <mergeCell ref="B14:E14"/>
    <mergeCell ref="G14:J14"/>
    <mergeCell ref="G13:J13"/>
    <mergeCell ref="G12:J12"/>
    <mergeCell ref="L13:O13"/>
    <mergeCell ref="L14:O14"/>
    <mergeCell ref="Q12:T12"/>
    <mergeCell ref="Q13:T13"/>
    <mergeCell ref="Q14:T14"/>
    <mergeCell ref="B9:E9"/>
    <mergeCell ref="B8:E8"/>
    <mergeCell ref="L8:O8"/>
    <mergeCell ref="L9:O9"/>
    <mergeCell ref="L12:O12"/>
    <mergeCell ref="B12:E12"/>
    <mergeCell ref="E4:J4"/>
    <mergeCell ref="B16:G16"/>
    <mergeCell ref="B40:F40"/>
    <mergeCell ref="B62:F62"/>
    <mergeCell ref="Q9:T9"/>
    <mergeCell ref="Q8:T8"/>
    <mergeCell ref="B6:E6"/>
    <mergeCell ref="G6:J6"/>
    <mergeCell ref="L6:O6"/>
    <mergeCell ref="Q6:T6"/>
    <mergeCell ref="Q7:T7"/>
    <mergeCell ref="L7:O7"/>
    <mergeCell ref="G7:J7"/>
    <mergeCell ref="B7:E7"/>
    <mergeCell ref="G8:J8"/>
    <mergeCell ref="G9:J9"/>
  </mergeCells>
  <dataValidations count="1">
    <dataValidation type="list" allowBlank="1" showInputMessage="1" showErrorMessage="1" sqref="C4:C5" xr:uid="{13F3522D-D9AB-4951-8F01-4C859B8E9174}">
      <formula1>"FY2021, FY2022, FY2023, FY2024"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63885-034C-45D1-B176-19D09DE75904}">
  <dimension ref="A1:K243"/>
  <sheetViews>
    <sheetView workbookViewId="0"/>
  </sheetViews>
  <sheetFormatPr defaultRowHeight="15.75" x14ac:dyDescent="0.25"/>
  <sheetData>
    <row r="1" spans="1:5" x14ac:dyDescent="0.25">
      <c r="A1" s="4"/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3" spans="1:5" x14ac:dyDescent="0.25">
      <c r="A3" s="4"/>
      <c r="B3" s="4"/>
      <c r="C3" s="4"/>
      <c r="D3" s="4"/>
      <c r="E3" s="4"/>
    </row>
    <row r="4" spans="1:5" x14ac:dyDescent="0.25">
      <c r="A4" s="4"/>
      <c r="B4" s="4"/>
      <c r="C4" s="4"/>
      <c r="D4" s="4"/>
      <c r="E4" s="4"/>
    </row>
    <row r="5" spans="1:5" x14ac:dyDescent="0.25">
      <c r="A5" s="4"/>
      <c r="B5" s="4"/>
      <c r="C5" s="4"/>
      <c r="D5" s="4"/>
      <c r="E5" s="4"/>
    </row>
    <row r="6" spans="1:5" x14ac:dyDescent="0.25">
      <c r="A6" s="4"/>
      <c r="B6" s="4"/>
      <c r="C6" s="4"/>
      <c r="D6" s="4"/>
      <c r="E6" s="4"/>
    </row>
    <row r="7" spans="1:5" x14ac:dyDescent="0.25">
      <c r="A7" s="4"/>
      <c r="B7" s="4"/>
      <c r="C7" s="4"/>
      <c r="D7" s="4"/>
      <c r="E7" s="4"/>
    </row>
    <row r="8" spans="1:5" x14ac:dyDescent="0.25">
      <c r="A8" s="4"/>
      <c r="B8" s="4"/>
      <c r="C8" s="4"/>
      <c r="D8" s="4"/>
      <c r="E8" s="4"/>
    </row>
    <row r="9" spans="1:5" x14ac:dyDescent="0.25">
      <c r="A9" s="4"/>
      <c r="B9" s="4"/>
      <c r="C9" s="4"/>
      <c r="D9" s="4"/>
      <c r="E9" s="4"/>
    </row>
    <row r="10" spans="1:5" x14ac:dyDescent="0.25">
      <c r="A10" s="4"/>
      <c r="B10" s="4"/>
      <c r="C10" s="4"/>
      <c r="D10" s="4"/>
      <c r="E10" s="4"/>
    </row>
    <row r="11" spans="1:5" x14ac:dyDescent="0.25">
      <c r="A11" s="4"/>
      <c r="B11" s="4"/>
      <c r="C11" s="4"/>
      <c r="D11" s="4"/>
      <c r="E11" s="4"/>
    </row>
    <row r="12" spans="1:5" x14ac:dyDescent="0.25">
      <c r="A12" s="4"/>
      <c r="B12" s="4"/>
      <c r="C12" s="4"/>
      <c r="D12" s="4"/>
      <c r="E12" s="4"/>
    </row>
    <row r="13" spans="1:5" x14ac:dyDescent="0.25">
      <c r="A13" s="4"/>
      <c r="B13" s="4"/>
      <c r="C13" s="4"/>
      <c r="D13" s="4"/>
      <c r="E13" s="4"/>
    </row>
    <row r="14" spans="1:5" x14ac:dyDescent="0.25">
      <c r="A14" s="4"/>
      <c r="B14" s="4"/>
      <c r="C14" s="4"/>
      <c r="D14" s="4"/>
      <c r="E14" s="4"/>
    </row>
    <row r="15" spans="1:5" x14ac:dyDescent="0.25">
      <c r="A15" s="4"/>
      <c r="B15" s="4"/>
      <c r="C15" s="4"/>
      <c r="D15" s="4"/>
      <c r="E15" s="4"/>
    </row>
    <row r="16" spans="1:5" x14ac:dyDescent="0.25">
      <c r="A16" s="4"/>
      <c r="B16" s="4"/>
      <c r="C16" s="4"/>
      <c r="D16" s="4"/>
      <c r="E16" s="4"/>
    </row>
    <row r="17" spans="1:11" x14ac:dyDescent="0.25">
      <c r="A17" s="4"/>
      <c r="B17" s="4"/>
      <c r="C17" s="4"/>
      <c r="D17" s="4"/>
      <c r="E17" s="4"/>
    </row>
    <row r="18" spans="1:11" x14ac:dyDescent="0.25">
      <c r="A18" s="4"/>
      <c r="B18" s="4"/>
      <c r="C18" s="4"/>
      <c r="D18" s="4"/>
      <c r="E18" s="4"/>
    </row>
    <row r="19" spans="1:11" x14ac:dyDescent="0.25">
      <c r="A19" s="4"/>
      <c r="B19" s="4"/>
      <c r="C19" s="4"/>
      <c r="D19" s="4"/>
      <c r="E19" s="4"/>
    </row>
    <row r="20" spans="1:11" x14ac:dyDescent="0.25">
      <c r="A20" s="4"/>
      <c r="B20" s="4"/>
      <c r="C20" s="4"/>
      <c r="D20" s="4"/>
      <c r="E20" s="4"/>
    </row>
    <row r="21" spans="1:11" x14ac:dyDescent="0.25">
      <c r="A21" s="4"/>
      <c r="B21" s="4"/>
      <c r="C21" s="4"/>
      <c r="D21" s="4"/>
      <c r="E21" s="4"/>
    </row>
    <row r="22" spans="1:11" x14ac:dyDescent="0.25">
      <c r="A22" s="4"/>
      <c r="B22" s="4"/>
      <c r="C22" s="4"/>
      <c r="D22" s="4"/>
      <c r="E22" s="4"/>
    </row>
    <row r="23" spans="1:11" x14ac:dyDescent="0.25">
      <c r="A23" s="4"/>
      <c r="B23" s="4"/>
      <c r="C23" s="4"/>
      <c r="D23" s="4"/>
      <c r="E23" s="4"/>
    </row>
    <row r="24" spans="1:11" x14ac:dyDescent="0.25">
      <c r="A24" s="4"/>
      <c r="B24" s="119"/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</row>
    <row r="26" spans="1:11" x14ac:dyDescent="0.25">
      <c r="A26" s="119"/>
    </row>
    <row r="27" spans="1:11" x14ac:dyDescent="0.25">
      <c r="A27" s="4"/>
      <c r="B27" s="4"/>
      <c r="C27" s="4"/>
      <c r="D27" s="4"/>
      <c r="E27" s="4"/>
    </row>
    <row r="28" spans="1:11" x14ac:dyDescent="0.25">
      <c r="A28" s="4"/>
    </row>
    <row r="29" spans="1:11" x14ac:dyDescent="0.25">
      <c r="A29" s="119"/>
    </row>
    <row r="30" spans="1:11" x14ac:dyDescent="0.25">
      <c r="A30" s="119"/>
    </row>
    <row r="31" spans="1:11" x14ac:dyDescent="0.25">
      <c r="A31" s="119"/>
    </row>
    <row r="32" spans="1:11" x14ac:dyDescent="0.25">
      <c r="A32" s="119"/>
    </row>
    <row r="33" spans="1:5" x14ac:dyDescent="0.25">
      <c r="A33" s="119"/>
    </row>
    <row r="34" spans="1:5" x14ac:dyDescent="0.25">
      <c r="A34" s="119"/>
    </row>
    <row r="35" spans="1:5" x14ac:dyDescent="0.25">
      <c r="A35" s="119"/>
    </row>
    <row r="36" spans="1:5" x14ac:dyDescent="0.25">
      <c r="A36" s="4"/>
      <c r="B36" s="4"/>
      <c r="C36" s="4"/>
      <c r="D36" s="4"/>
      <c r="E36" s="4"/>
    </row>
    <row r="37" spans="1:5" x14ac:dyDescent="0.25">
      <c r="A37" s="4"/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4"/>
      <c r="B39" s="4"/>
      <c r="C39" s="4"/>
      <c r="D39" s="4"/>
      <c r="E39" s="4"/>
    </row>
    <row r="40" spans="1:5" x14ac:dyDescent="0.25">
      <c r="A40" s="4"/>
      <c r="B40" s="4"/>
      <c r="C40" s="4"/>
      <c r="D40" s="4"/>
      <c r="E40" s="4"/>
    </row>
    <row r="41" spans="1:5" x14ac:dyDescent="0.25">
      <c r="A41" s="4"/>
      <c r="B41" s="4"/>
      <c r="C41" s="4"/>
      <c r="D41" s="4"/>
      <c r="E41" s="4"/>
    </row>
    <row r="42" spans="1:5" x14ac:dyDescent="0.25">
      <c r="A42" s="4"/>
      <c r="B42" s="4"/>
      <c r="C42" s="4"/>
      <c r="D42" s="4"/>
      <c r="E42" s="4"/>
    </row>
    <row r="43" spans="1:5" x14ac:dyDescent="0.25">
      <c r="A43" s="4"/>
    </row>
    <row r="44" spans="1:5" x14ac:dyDescent="0.25">
      <c r="A44" s="119"/>
    </row>
    <row r="45" spans="1:5" x14ac:dyDescent="0.25">
      <c r="A45" s="119"/>
    </row>
    <row r="46" spans="1:5" x14ac:dyDescent="0.25">
      <c r="A46" s="119"/>
    </row>
    <row r="47" spans="1:5" x14ac:dyDescent="0.25">
      <c r="A47" s="4"/>
      <c r="B47" s="4"/>
      <c r="C47" s="4"/>
      <c r="D47" s="4"/>
      <c r="E47" s="4"/>
    </row>
    <row r="48" spans="1:5" x14ac:dyDescent="0.25">
      <c r="A48" s="4"/>
      <c r="B48" s="4"/>
      <c r="C48" s="4"/>
      <c r="D48" s="4"/>
      <c r="E48" s="4"/>
    </row>
    <row r="49" spans="1:5" x14ac:dyDescent="0.25">
      <c r="A49" s="4"/>
      <c r="B49" s="4"/>
      <c r="C49" s="4"/>
      <c r="D49" s="4"/>
      <c r="E49" s="4"/>
    </row>
    <row r="50" spans="1:5" x14ac:dyDescent="0.25">
      <c r="A50" s="4"/>
    </row>
    <row r="51" spans="1:5" x14ac:dyDescent="0.25">
      <c r="A51" s="119"/>
    </row>
    <row r="52" spans="1:5" x14ac:dyDescent="0.25">
      <c r="A52" s="119"/>
    </row>
    <row r="53" spans="1:5" x14ac:dyDescent="0.25">
      <c r="A53" s="119"/>
    </row>
    <row r="54" spans="1:5" x14ac:dyDescent="0.25">
      <c r="A54" s="119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127"/>
      <c r="B62" s="127"/>
      <c r="C62" s="127"/>
      <c r="D62" s="127"/>
      <c r="E62" s="127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127"/>
      <c r="B65" s="127"/>
      <c r="C65" s="127"/>
      <c r="D65" s="127"/>
      <c r="E65" s="127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127"/>
      <c r="B69" s="127"/>
      <c r="C69" s="127"/>
      <c r="D69" s="127"/>
      <c r="E69" s="127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127"/>
      <c r="B72" s="127"/>
      <c r="C72" s="127"/>
      <c r="D72" s="127"/>
      <c r="E72" s="127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127"/>
      <c r="B75" s="127"/>
      <c r="C75" s="127"/>
      <c r="D75" s="127"/>
      <c r="E75" s="127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127"/>
      <c r="B79" s="127"/>
      <c r="C79" s="127"/>
      <c r="D79" s="127"/>
      <c r="E79" s="127"/>
    </row>
    <row r="80" spans="1:5" x14ac:dyDescent="0.25">
      <c r="A80" s="4"/>
      <c r="B80" s="4"/>
      <c r="C80" s="4"/>
      <c r="D80" s="4"/>
      <c r="E80" s="4"/>
    </row>
    <row r="81" spans="1:5" x14ac:dyDescent="0.25">
      <c r="A81" s="127"/>
      <c r="B81" s="127"/>
      <c r="C81" s="127"/>
      <c r="D81" s="127"/>
      <c r="E81" s="127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127"/>
      <c r="B89" s="127"/>
      <c r="C89" s="127"/>
      <c r="D89" s="127"/>
      <c r="E89" s="127"/>
    </row>
    <row r="90" spans="1:5" x14ac:dyDescent="0.25">
      <c r="A90" s="4"/>
      <c r="B90" s="4"/>
      <c r="C90" s="4"/>
      <c r="D90" s="4"/>
      <c r="E90" s="4"/>
    </row>
    <row r="91" spans="1:5" x14ac:dyDescent="0.25">
      <c r="A91" s="127"/>
      <c r="B91" s="127"/>
      <c r="C91" s="127"/>
      <c r="D91" s="127"/>
      <c r="E91" s="127"/>
    </row>
    <row r="92" spans="1:5" x14ac:dyDescent="0.25">
      <c r="A92" s="4"/>
      <c r="B92" s="4"/>
      <c r="C92" s="4"/>
      <c r="D92" s="4"/>
      <c r="E92" s="4"/>
    </row>
    <row r="93" spans="1:5" x14ac:dyDescent="0.25">
      <c r="A93" s="127"/>
      <c r="B93" s="127"/>
      <c r="C93" s="127"/>
      <c r="D93" s="127"/>
      <c r="E93" s="127"/>
    </row>
    <row r="94" spans="1:5" x14ac:dyDescent="0.25">
      <c r="A94" s="127"/>
      <c r="B94" s="127"/>
      <c r="C94" s="127"/>
      <c r="D94" s="127"/>
      <c r="E94" s="127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127"/>
      <c r="B110" s="127"/>
      <c r="C110" s="127"/>
      <c r="D110" s="127"/>
      <c r="E110" s="127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24"/>
      <c r="B128" s="24"/>
      <c r="C128" s="24"/>
      <c r="D128" s="24"/>
      <c r="E128" s="24"/>
    </row>
    <row r="129" spans="1:7" x14ac:dyDescent="0.25">
      <c r="A129" s="25"/>
      <c r="B129" s="25"/>
      <c r="C129" s="25"/>
      <c r="D129" s="25"/>
      <c r="E129" s="25"/>
    </row>
    <row r="130" spans="1:7" x14ac:dyDescent="0.25">
      <c r="A130" s="4"/>
      <c r="B130" s="4"/>
      <c r="C130" s="4"/>
      <c r="D130" s="4"/>
      <c r="E130" s="4"/>
    </row>
    <row r="131" spans="1:7" x14ac:dyDescent="0.25">
      <c r="A131" s="127"/>
      <c r="B131" s="127"/>
      <c r="C131" s="127"/>
      <c r="D131" s="127"/>
      <c r="E131" s="127"/>
    </row>
    <row r="132" spans="1:7" x14ac:dyDescent="0.25">
      <c r="A132" s="24"/>
      <c r="B132" s="24"/>
      <c r="C132" s="24"/>
      <c r="D132" s="24"/>
      <c r="E132" s="24"/>
    </row>
    <row r="133" spans="1:7" x14ac:dyDescent="0.25">
      <c r="A133" s="4"/>
      <c r="B133" s="4"/>
      <c r="C133" s="4"/>
      <c r="D133" s="4"/>
      <c r="E133" s="4"/>
    </row>
    <row r="134" spans="1:7" x14ac:dyDescent="0.25">
      <c r="A134" s="4"/>
      <c r="B134" s="4"/>
      <c r="C134" s="4"/>
      <c r="D134" s="4"/>
      <c r="E134" s="4"/>
    </row>
    <row r="135" spans="1:7" x14ac:dyDescent="0.25">
      <c r="A135" s="127"/>
      <c r="B135" s="127"/>
      <c r="C135" s="127"/>
      <c r="D135" s="127"/>
      <c r="E135" s="127"/>
    </row>
    <row r="136" spans="1:7" x14ac:dyDescent="0.25">
      <c r="A136" s="24"/>
      <c r="B136" s="24"/>
      <c r="C136" s="24"/>
      <c r="D136" s="24"/>
      <c r="E136" s="24"/>
    </row>
    <row r="137" spans="1:7" x14ac:dyDescent="0.25">
      <c r="A137" s="25"/>
      <c r="B137" s="25"/>
      <c r="C137" s="25"/>
      <c r="D137" s="25"/>
      <c r="E137" s="25"/>
    </row>
    <row r="138" spans="1:7" x14ac:dyDescent="0.25">
      <c r="A138" s="4"/>
      <c r="B138" s="4"/>
      <c r="C138" s="4"/>
      <c r="D138" s="4"/>
      <c r="E138" s="4"/>
    </row>
    <row r="139" spans="1:7" x14ac:dyDescent="0.25">
      <c r="A139" s="4"/>
      <c r="B139" s="4"/>
      <c r="C139" s="4"/>
      <c r="D139" s="4"/>
      <c r="E139" s="4"/>
      <c r="F139" s="28"/>
      <c r="G139" s="29"/>
    </row>
    <row r="140" spans="1:7" x14ac:dyDescent="0.25">
      <c r="A140" s="4"/>
      <c r="B140" s="4"/>
      <c r="C140" s="4"/>
      <c r="D140" s="4"/>
      <c r="E140" s="4"/>
      <c r="F140" s="30"/>
      <c r="G140" s="31"/>
    </row>
    <row r="141" spans="1:7" x14ac:dyDescent="0.25">
      <c r="A141" s="4"/>
      <c r="B141" s="4"/>
      <c r="C141" s="4"/>
      <c r="D141" s="4"/>
      <c r="E141" s="4"/>
      <c r="F141" s="32"/>
      <c r="G141" s="33"/>
    </row>
    <row r="142" spans="1:7" x14ac:dyDescent="0.25">
      <c r="A142" s="4"/>
      <c r="B142" s="4"/>
      <c r="C142" s="4"/>
      <c r="D142" s="4"/>
      <c r="E142" s="4"/>
      <c r="F142" s="34"/>
      <c r="G142" s="35"/>
    </row>
    <row r="143" spans="1:7" x14ac:dyDescent="0.25">
      <c r="A143" s="4"/>
      <c r="B143" s="4"/>
      <c r="C143" s="4"/>
      <c r="D143" s="4"/>
      <c r="E143" s="4"/>
      <c r="F143" s="36"/>
      <c r="G143" s="37"/>
    </row>
    <row r="144" spans="1:7" x14ac:dyDescent="0.25">
      <c r="A144" s="4"/>
      <c r="B144" s="4"/>
      <c r="C144" s="4"/>
      <c r="D144" s="4"/>
      <c r="E144" s="4"/>
    </row>
    <row r="145" spans="1:1" x14ac:dyDescent="0.25">
      <c r="A145" s="27"/>
    </row>
    <row r="146" spans="1:1" x14ac:dyDescent="0.25">
      <c r="A146" s="27"/>
    </row>
    <row r="147" spans="1:1" x14ac:dyDescent="0.25">
      <c r="A147" s="27"/>
    </row>
    <row r="148" spans="1:1" x14ac:dyDescent="0.25">
      <c r="A148" s="27"/>
    </row>
    <row r="149" spans="1:1" x14ac:dyDescent="0.25">
      <c r="A149" s="27"/>
    </row>
    <row r="150" spans="1:1" x14ac:dyDescent="0.25">
      <c r="A150" s="27"/>
    </row>
    <row r="151" spans="1:1" x14ac:dyDescent="0.25">
      <c r="A151" s="27"/>
    </row>
    <row r="152" spans="1:1" x14ac:dyDescent="0.25">
      <c r="A152" s="27"/>
    </row>
    <row r="153" spans="1:1" x14ac:dyDescent="0.25">
      <c r="A153" s="27"/>
    </row>
    <row r="154" spans="1:1" x14ac:dyDescent="0.25">
      <c r="A154" s="27"/>
    </row>
    <row r="155" spans="1:1" x14ac:dyDescent="0.25">
      <c r="A155" s="27"/>
    </row>
    <row r="156" spans="1:1" x14ac:dyDescent="0.25">
      <c r="A156" s="27"/>
    </row>
    <row r="157" spans="1:1" x14ac:dyDescent="0.25">
      <c r="A157" s="27"/>
    </row>
    <row r="158" spans="1:1" x14ac:dyDescent="0.25">
      <c r="A158" s="27"/>
    </row>
    <row r="159" spans="1:1" x14ac:dyDescent="0.25">
      <c r="A159" s="27"/>
    </row>
    <row r="160" spans="1:1" x14ac:dyDescent="0.25">
      <c r="A160" s="27"/>
    </row>
    <row r="161" spans="1:3" x14ac:dyDescent="0.25">
      <c r="A161" s="27"/>
    </row>
    <row r="162" spans="1:3" x14ac:dyDescent="0.25">
      <c r="A162" s="27"/>
    </row>
    <row r="163" spans="1:3" x14ac:dyDescent="0.25">
      <c r="B163" s="27"/>
      <c r="C163" s="26"/>
    </row>
    <row r="164" spans="1:3" x14ac:dyDescent="0.25">
      <c r="A164" s="27"/>
    </row>
    <row r="165" spans="1:3" x14ac:dyDescent="0.25">
      <c r="A165" s="27"/>
    </row>
    <row r="166" spans="1:3" x14ac:dyDescent="0.25">
      <c r="A166" s="27"/>
    </row>
    <row r="167" spans="1:3" x14ac:dyDescent="0.25">
      <c r="A167" s="27"/>
    </row>
    <row r="168" spans="1:3" x14ac:dyDescent="0.25">
      <c r="A168" s="27"/>
    </row>
    <row r="169" spans="1:3" x14ac:dyDescent="0.25">
      <c r="A169" s="27"/>
    </row>
    <row r="170" spans="1:3" x14ac:dyDescent="0.25">
      <c r="A170" s="27"/>
    </row>
    <row r="171" spans="1:3" x14ac:dyDescent="0.25">
      <c r="A171" s="27"/>
    </row>
    <row r="172" spans="1:3" x14ac:dyDescent="0.25">
      <c r="A172" s="27"/>
    </row>
    <row r="173" spans="1:3" x14ac:dyDescent="0.25">
      <c r="A173" s="27"/>
    </row>
    <row r="174" spans="1:3" x14ac:dyDescent="0.25">
      <c r="A174" s="27"/>
    </row>
    <row r="175" spans="1:3" x14ac:dyDescent="0.25">
      <c r="A175" s="27"/>
    </row>
    <row r="176" spans="1:3" x14ac:dyDescent="0.25">
      <c r="A176" s="27"/>
    </row>
    <row r="177" spans="1:1" x14ac:dyDescent="0.25">
      <c r="A177" s="27"/>
    </row>
    <row r="178" spans="1:1" x14ac:dyDescent="0.25">
      <c r="A178" s="27"/>
    </row>
    <row r="179" spans="1:1" x14ac:dyDescent="0.25">
      <c r="A179" s="27"/>
    </row>
    <row r="180" spans="1:1" x14ac:dyDescent="0.25">
      <c r="A180" s="27"/>
    </row>
    <row r="181" spans="1:1" x14ac:dyDescent="0.25">
      <c r="A181" s="27"/>
    </row>
    <row r="227" spans="1:6" x14ac:dyDescent="0.25">
      <c r="A227" s="40"/>
    </row>
    <row r="236" spans="1:6" ht="16.5" thickBot="1" x14ac:dyDescent="0.3">
      <c r="F236" s="3"/>
    </row>
    <row r="237" spans="1:6" x14ac:dyDescent="0.25">
      <c r="F237" s="1"/>
    </row>
    <row r="238" spans="1:6" x14ac:dyDescent="0.25">
      <c r="F238" s="2"/>
    </row>
    <row r="239" spans="1:6" x14ac:dyDescent="0.25">
      <c r="F239" s="2"/>
    </row>
    <row r="240" spans="1:6" x14ac:dyDescent="0.25">
      <c r="F240" s="1"/>
    </row>
    <row r="241" spans="6:6" x14ac:dyDescent="0.25">
      <c r="F241" s="2"/>
    </row>
    <row r="242" spans="6:6" x14ac:dyDescent="0.25">
      <c r="F242" s="2"/>
    </row>
    <row r="243" spans="6:6" x14ac:dyDescent="0.25">
      <c r="F243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ExcelenceChangeLog xmlns="http://schemas.excelence.com/change-log/1.0">
  <Version>2.0</Version>
  <LastUpdated>2026-05-15T12:45:50.383Z</LastUpdated>
  <ChangeLogData>%5B%7B%22executionId%22%3A%2232d9839a-42c2-4e3c-b333-7293f4cd83e5%22%2C%22timestamp%22%3A%222026-05-15T12%3A45%3A50.176Z%22%2C%22logs%22%3A%5B%7B%22sheetName%22%3A%22Financial%20Analysis%22%2C%22address%22%3A%22B%3AB%22%2C%22changeType%22%3A%22format%22%2C%22details%22%3A%22%E5%88%97%E5%B9%85%E3%82%92%E5%A4%89%E6%9B%B4%22%2C%22lineNumber%22%3A57%7D%2C%7B%22sheetName%22%3A%22Financial%20Analysis%22%2C%22address%22%3A%22B47%3AG52%22%2C%22changeType%22%3A%22format%22%2C%22details%22%3A%22%E6%9B%B8%E5%BC%8F%E3%82%92%E5%A4%89%E6%9B%B4%22%2C%22lineNumber%22%3A58%7D%2C%7B%22sheetName%22%3A%22Financial%20Analysis%22%2C%22address%22%3A%22A47%3AA52%22%2C%22changeType%22%3A%22value%22%2C%22details%22%3A%22%E5%80%A4%E3%82%92%E6%9B%B4%E6%96%B0%20(6x1%201.%2C%202.%2C%203.%20%2B3%20more)%22%2C%22lineNumber%22%3A59%2C%22meta%22%3A%7B%22liveCellSnapshot%22%3A%7B%22value%22%3A%221%22%2C%22formula%22%3A%22-%22%7D%7D%7D%2C%7B%22sheetName%22%3A%22Financial%20Analysis%22%2C%22address%22%3A%22A47%3AA52%22%2C%22changeType%22%3A%22format%22%2C%22details%22%3A%22%E6%9B%B8%E5%BC%8F%E3%82%92%E5%A4%89%E6%9B%B4%22%2C%22lineNumber%22%3A59%7D%5D%7D%2C%7B%22executionId%22%3A%22ee73aa1b-7c62-4a22-8b40-26a19832f1c3%22%2C%22timestamp%22%3A%222026-05-15T12%3A45%3A15.362Z%22%2C%22logs%22%3A%5B%7B%22sheetName%22%3A%22Financial%20Analysis%22%2C%22address%22%3A%22A1%22%2C%22changeType%22%3A%22structural%22%2C%22details%22%3A%22%E3%82%B7%E3%83%BC%E3%83%88%E3%82%92%E8%BF%BD%E5%8A%A0%22%2C%22lineNumber%22%3A0%7D%2C%7B%22sheetName%22%3A%22Financial%20Analysis%22%2C%22address%22%3A%22A1%3AG70%22%2C%22changeType%22%3A%22clear%22%2C%22details%22%3A%22%E3%82%BB%E3%83%AB%E5%86%85%E5%AE%B9%E3%82%92%E3%82%AF%E3%83%AA%E3%82%A2%22%2C%22lineNumber%22%3A58%2C%22meta%22%3A%7B%22liveCellSnapshot%22%3A%7B%22value%22%3A%22Financial%20Analysis%22%2C%22formula%22%3A%22-%22%7D%7D%7D%2C%7B%22sheetName%22%3A%22Financial%20Analysis%22%2C%22address%22%3A%22A1%3AG1%22%2C%22changeType%22%3A%22value%22%2C%22details%22%3A%22%E5%80%A4%E3%82%92%E6%9B%B4%E6%96%B0%20(1x7%20Financial%20Analysis)%22%2C%22lineNumber%22%3A60%2C%22meta%22%3A%7B%22liveCellSnapshot%22%3A%7B%22value%22%3A%22Financial%20Analysis%22%2C%22formula%22%3A%22-%22%7D%7D%7D%2C%7B%22sheetName%22%3A%22Financial%20Analysis%22%2C%22address%22%3A%22A1%3AG1%22%2C%22changeType%22%3A%22format%22%2C%22details%22%3A%22%E6%9B%B8%E5%BC%8F%E3%82%92%E5%A4%89%E6%9B%B4%22%2C%22lineNumber%22%3A60%7D%2C%7B%22sheetName%22%3A%22Financial%20Analysis%22%2C%22address%22%3A%22A%3AA%22%2C%22changeType%22%3A%22format%22%2C%22details%22%3A%22%E5%88%97%E5%B9%85%E3%82%92%E5%A4%89%E6%9B%B4%22%2C%22lineNumber%22%3A60%7D%2C%7B%22sheetName%22%3A%22Financial%20Analysis%22%2C%22address%22%3A%22B%3AB%22%2C%22changeType%22%3A%22format%22%2C%22details%22%3A%22%E5%88%97%E5%B9%85%E3%82%92%E5%A4%89%E6%9B%B4%22%2C%22lineNumber%22%3A60%7D%2C%7B%22sheetName%22%3A%22Financial%20Analysis%22%2C%22address%22%3A%22C%3AC%22%2C%22changeType%22%3A%22format%22%2C%22details%22%3A%22%E5%88%97%E5%B9%85%E3%82%92%E5%A4%89%E6%9B%B4%22%2C%22lineNumber%22%3A60%7D%2C%7B%22sheetName%22%3A%22Financial%20Analysis%22%2C%22address%22%3A%22D%3AD%22%2C%22changeType%22%3A%22format%22%2C%22details%22%3A%22%E5%88%97%E5%B9%85%E3%82%92%E5%A4%89%E6%9B%B4%22%2C%22lineNumber%22%3A60%7D%2C%7B%22sheetName%22%3A%22Financial%20Analysis%22%2C%22address%22%3A%22E%3AE%22%2C%22changeType%22%3A%22format%22%2C%22details%22%3A%22%E5%88%97%E5%B9%85%E3%82%92%E5%A4%89%E6%9B%B4%22%2C%22lineNumber%22%3A60%7D%2C%7B%22sheetName%22%3A%22Financial%20Analysis%22%2C%22address%22%3A%22F%3AF%22%2C%22changeType%22%3A%22format%22%2C%22details%22%3A%22%E5%88%97%E5%B9%85%E3%82%92%E5%A4%89%E6%9B%B4%22%2C%22lineNumber%22%3A60%7D%2C%7B%22sheetName%22%3A%22Financial%20Analysis%22%2C%22address%22%3A%22G%3AG%22%2C%22changeType%22%3A%22format%22%2C%22details%22%3A%22%E5%88%97%E5%B9%85%E3%82%92%E5%A4%89%E6%9B%B4%22%2C%22lineNumber%22%3A60%7D%2C%7B%22sheetName%22%3A%22Financial%20Analysis%22%2C%22address%22%3A%22A2%3AG2%22%2C%22changeType%22%3A%22value%22%2C%22details%22%3A%22%E5%80%A4%E3%82%92%E6%9B%B4%E6%96%B0%20(1x7%20Based%20on%20reported%20Balance%20Sheet%2C%20P%26L%20and%20Cash%20Flow%20data%20%7C%20%E2%82%B9%20...)%22%2C%22lineNumber%22%3A66%2C%22meta%22%3A%7B%22liveCellSnapshot%22%3A%7B%22value%22%3A%22Based%20on%20reported%20Balance%20Sheet%2C%20P%26L%20and%20Cash%20Flow%20data%20%7C%20%E2%82%B9%20...%22%2C%22formula%22%3A%22-%22%7D%7D%7D%2C%7B%22sheetName%22%3A%22Financial%20Analysis%22%2C%22address%22%3A%22A2%3AG2%22%2C%22changeType%22%3A%22format%22%2C%22details%22%3A%22%E6%9B%B8%E5%BC%8F%E3%82%92%E5%A4%89%E6%9B%B4%22%2C%22lineNumber%22%3A66%7D%2C%7B%22sheetName%22%3A%22Financial%20Analysis%22%2C%22address%22%3A%22A4%3AG4%22%2C%22changeType%22%3A%22value%22%2C%22details%22%3A%22%E5%80%A4%E3%82%92%E6%9B%B4%E6%96%B0%20(1x7%201.%20Income%20Statement%20%26%20Cash%20Flow%20Trends)%22%2C%22lineNumber%22%3A71%2C%22meta%22%3A%7B%22liveCellSnapshot%22%3A%7B%22value%22%3A%221.%20Income%20Statement%20%26%20Cash%20Flow%20Trends%22%2C%22formula%22%3A%22-%22%7D%7D%7D%2C%7B%22sheetName%22%3A%22Financial%20Analysis%22%2C%22address%22%3A%22A4%3AG4%22%2C%22changeType%22%3A%22format%22%2C%22details%22%3A%22%E6%9B%B8%E5%BC%8F%E3%82%92%E5%A4%89%E6%9B%B4%22%2C%22lineNumber%22%3A71%7D%2C%7B%22sheetName%22%3A%22Financial%20Analysis%22%2C%22address%22%3A%22A5%3AG5%22%2C%22changeType%22%3A%22value%22%2C%22details%22%3A%22%E5%80%A4%E3%82%92%E6%9B%B4%E6%96%B0%20(1x7%20Metric%2C%20Source%20%2F%20Note%2C%20FY2021%20%2B4%20more)%22%2C%22lineNumber%22%3A72%2C%22meta%22%3A%7B%22liveCellSnapshot%22%3A%7B%22value%22%3A%22Metric%22%2C%22formula%22%3A%22-%22%7D%7D%7D%2C%7B%22sheetName%22%3A%22Financial%20Analysis%22%2C%22address%22%3A%22A5%3AG5%22%2C%22changeType%22%3A%22format%22%2C%22details%22%3A%22%E6%9B%B8%E5%BC%8F%E3%82%92%E5%A4%89%E6%9B%B4%22%2C%22lineNumber%22%3A72%7D%2C%7B%22sheetName%22%3A%22Financial%20Analysis%22%2C%22address%22%3A%22A6%3AG16%22%2C%22changeType%22%3A%22value%22%2C%22details%22%3A%22%E5%80%A4%E3%82%92%E6%9B%B4%E6%96%B0%20(11x7%20Revenue%2C%20P%26L%20row%206%2C%20%3D'P%26L'!D6%20%2B74%20more)%22%2C%22lineNumber%22%3A73%2C%22meta%22%3A%7B%22liveCellSnapshot%22%3A%7B%22value%22%3A%22Revenue%22%2C%22formula%22%3A%22-%22%7D%7D%7D%2C%7B%22sheetName%22%3A%22Financial%20Analysis%22%2C%22address%22%3A%22A6%3AG16%22%2C%22changeType%22%3A%22format%22%2C%22details%22%3A%22%E6%9B%B8%E5%BC%8F%E3%82%92%E5%A4%89%E6%9B%B4%22%2C%22lineNumber%22%3A73%7D%2C%7B%22sheetName%22%3A%22Financial%20Analysis%22%2C%22address%22%3A%22A18%3AG18%22%2C%22changeType%22%3A%22value%22%2C%22details%22%3A%22%E5%80%A4%E3%82%92%E6%9B%B4%E6%96%B0%20(1x7%202.%20Balance%20Sheet%2C%20Returns%20%26%20Leverage)%22%2C%22lineNumber%22%3A89%2C%22meta%22%3A%7B%22liveCellSnapshot%22%3A%7B%22value%22%3A%222.%20Balance%20Sheet%2C%20Returns%20%26%20Leverage%22%2C%22formula%22%3A%22-%22%7D%7D%7D%2C%7B%22sheetName%22%3A%22Financial%20Analysis%22%2C%22address%22%3A%22A18%3AG18%22%2C%22changeType%22%3A%22format%22%2C%22details%22%3A%22%E6%9B%B8%E5%BC%8F%E3%82%92%E5%A4%89%E6%9B%B4%22%2C%22lineNumber%22%3A89%7D%2C%7B%22sheetName%22%3A%22Financial%20Analysis%22%2C%22address%22%3A%22A19%3AG31%22%2C%22changeType%22%3A%22value%22%2C%22details%22%3A%22%E5%80%A4%E3%82%92%E6%9B%B4%E6%96%B0%20(13x7%20Total%20assets%2C%20Balance%20Sheet%20row%2031%2C%20%3D'Balance%20Sheet'!D31%20%2B86%20more)%22%2C%22lineNumber%22%3A90%2C%22meta%22%3A%7B%22liveCellSnapshot%22%3A%7B%22value%22%3A%22Total%20assets%22%2C%22formula%22%3A%22-%22%7D%7D%7D%2C%7B%22sheetName%22%3A%22Financial%20Analysis%22%2C%22address%22%3A%22A19%3AG31%22%2C%22changeType%22%3A%22format%22%2C%22details%22%3A%22%E6%9B%B8%E5%BC%8F%E3%82%92%E5%A4%89%E6%9B%B4%22%2C%22lineNumber%22%3A90%7D%2C%7B%22sheetName%22%3A%22Financial%20Analysis%22%2C%22address%22%3A%22A33%3AG33%22%2C%22changeType%22%3A%22value%22%2C%22details%22%3A%22%E5%80%A4%E3%82%92%E6%9B%B4%E6%96%B0%20(1x7%203.%20Working%20Capital%20%26%20Funding%20Analysis)%22%2C%22lineNumber%22%3A108%2C%22meta%22%3A%7B%22liveCellSnapshot%22%3A%7B%22value%22%3A%223.%20Working%20Capital%20%26%20Funding%20Analysis%22%2C%22formula%22%3A%22-%22%7D%7D%7D%2C%7B%22sheetName%22%3A%22Financial%20Analysis%22%2C%22address%22%3A%22A33%3AG33%22%2C%22changeType%22%3A%22format%22%2C%22details%22%3A%22%E6%9B%B8%E5%BC%8F%E3%82%92%E5%A4%89%E6%9B%B4%22%2C%22lineNumber%22%3A108%7D%2C%7B%22sheetName%22%3A%22Financial%20Analysis%22%2C%22address%22%3A%22A34%3AG44%22%2C%22changeType%22%3A%22value%22%2C%22details%22%3A%22%E5%80%A4%E3%82%92%E6%9B%B4%E6%96%B0%20(11x7%20Current%20trade%20receivables%2C%20Balance%20Sheet%20row%2023%2C%20%3D'Balance%20Sheet'!D23%20%2B74%20more)%22%2C%22lineNumber%22%3A109%2C%22meta%22%3A%7B%22liveCellSnapshot%22%3A%7B%22value%22%3A%22Current%20trade%20receivables%22%2C%22formula%22%3A%22-%22%7D%7D%7D%2C%7B%22sheetName%22%3A%22Financial%20Analysis%22%2C%22address%22%3A%22A34%3AG44%22%2C%22changeType%22%3A%22format%22%2C%22details%22%3A%22%E6%9B%B8%E5%BC%8F%E3%82%92%E5%A4%89%E6%9B%B4%22%2C%22lineNumber%22%3A109%7D%2C%7B%22sheetName%22%3A%22Financial%20Analysis%22%2C%22address%22%3A%22A46%3AG46%22%2C%22changeType%22%3A%22value%22%2C%22details%22%3A%22%E5%80%A4%E3%82%92%E6%9B%B4%E6%96%B0%20(1x7%204.%20Key%20Takeaways)%22%2C%22lineNumber%22%3A125%2C%22meta%22%3A%7B%22liveCellSnapshot%22%3A%7B%22value%22%3A%224.%20Key%20Takeaways%22%2C%22formula%22%3A%22-%22%7D%7D%7D%2C%7B%22sheetName%22%3A%22Financial%20Analysis%22%2C%22address%22%3A%22A46%3AG46%22%2C%22changeType%22%3A%22format%22%2C%22details%22%3A%22%E6%9B%B8%E5%BC%8F%E3%82%92%E5%A4%89%E6%9B%B4%22%2C%22lineNumber%22%3A125%7D%2C%7B%22sheetName%22%3A%22Financial%20Analysis%22%2C%22address%22%3A%22A47%3AB52%22%2C%22changeType%22%3A%22value%22%2C%22details%22%3A%22%E5%80%A4%E3%82%92%E6%9B%B4%E6%96%B0%20(6x2%201%2C%20%3D%5C%22Revenue%20grew%20at%20%5C%22%26TEXT(G6%2C%5C%220.0%25%5C%22)%26%5C%22%20CAGR%20from%20FY2021%20to%20FY2024%2C%20but%20FY2024%20YoY%20growth%20slowed%20to%20%5C%22%26TEXT(F7%2C%5C%220.0%25%5C%22)%26%5C%22.%5C%22%2C%202%20%2B9%20more)%22%2C%22lineNumber%22%3A126%2C%22meta%22%3A%7B%22liveCellSnapshot%22%3A%7B%22value%22%3A%221%22%2C%22formula%22%3A%22-%22%7D%7D%7D%2C%7B%22sheetName%22%3A%22Financial%20Analysis%22%2C%22address%22%3A%22A47%3AB52%22%2C%22changeType%22%3A%22format%22%2C%22details%22%3A%22%E6%9B%B8%E5%BC%8F%E3%82%92%E5%A4%89%E6%9B%B4%22%2C%22lineNumber%22%3A126%7D%2C%7B%22sheetName%22%3A%22Financial%20Analysis%22%2C%22address%22%3A%22A54%3AG54%22%2C%22changeType%22%3A%22value%22%2C%22details%22%3A%22%E5%80%A4%E3%82%92%E6%9B%B4%E6%96%B0%20(1x7%205.%20Integrity%20Checks)%22%2C%22lineNumber%22%3A137%2C%22meta%22%3A%7B%22liveCellSnapshot%22%3A%7B%22value%22%3A%225.%20Integrity%20Checks%22%2C%22formula%22%3A%22-%22%7D%7D%7D%2C%7B%22sheetName%22%3A%22Financial%20Analysis%22%2C%22address%22%3A%22A54%3AG54%22%2C%22changeType%22%3A%22format%22%2C%22details%22%3A%22%E6%9B%B8%E5%BC%8F%E3%82%92%E5%A4%89%E6%9B%B4%22%2C%22lineNumber%22%3A137%7D%2C%7B%22sheetName%22%3A%22Financial%20Analysis%22%2C%22address%22%3A%22A55%3AG59%22%2C%22changeType%22%3A%22value%22%2C%22details%22%3A%22%E5%80%A4%E3%82%92%E6%9B%B4%E6%96%B0%20(5x7%20Check%2C%20Rule%2C%20FY2021%20%2B32%20more)%22%2C%22lineNumber%22%3A138%2C%22meta%22%3A%7B%22liveCellSnapshot%22%3A%7B%22value%22%3A%22Check%22%2C%22formula%22%3A%22-%22%7D%7D%7D%2C%7B%22sheetName%22%3A%22Financial%20Analysis%22%2C%22address%22%3A%22A55%3AG59%22%2C%22changeType%22%3A%22format%22%2C%22details%22%3A%22%E6%9B%B8%E5%BC%8F%E3%82%92%E5%A4%89%E6%9B%B4%22%2C%22lineNumber%22%3A138%7D%2C%7B%22sheetName%22%3A%22Financial%20Analysis%22%2C%22address%22%3A%22A55%3AG55%22%2C%22changeType%22%3A%22format%22%2C%22details%22%3A%22%E6%9B%B8%E5%BC%8F%E3%82%92%E5%A4%89%E6%9B%B4%22%2C%22lineNumber%22%3A148%7D%2C%7B%22sheetName%22%3A%22Financial%20Analysis%22%2C%22address%22%3A%22A6%3AG59%22%2C%22changeType%22%3A%22format%22%2C%22details%22%3A%22%E6%9B%B8%E5%BC%8F%E3%82%92%E5%A4%89%E6%9B%B4%22%2C%22lineNumber%22%3A149%7D%2C%7B%22sheetName%22%3A%22Financial%20Analysis%22%2C%22address%22%3A%22A47%3AA52%22%2C%22changeType%22%3A%22format%22%2C%22details%22%3A%22%E6%9B%B8%E5%BC%8F%E3%82%92%E5%A4%89%E6%9B%B4%22%2C%22lineNumber%22%3A150%7D%2C%7B%22sheetName%22%3A%22Financial%20Analysis%22%2C%22address%22%3A%22C6%3AG6%22%2C%22changeType%22%3A%22format%22%2C%22details%22%3A%22%E6%9B%B8%E5%BC%8F%E3%82%92%E5%A4%89%E6%9B%B4%22%2C%22lineNumber%22%3A154%7D%2C%7B%22sheetName%22%3A%22Financial%20Analysis%22%2C%22address%22%3A%22C8%3AG8%22%2C%22changeType%22%3A%22format%22%2C%22details%22%3A%22%E6%9B%B8%E5%BC%8F%E3%82%92%E5%A4%89%E6%9B%B4%22%2C%22lineNumber%22%3A154%7D%2C%7B%22sheetName%22%3A%22Financial%20Analysis%22%2C%22address%22%3A%22C9%3AG9%22%2C%22changeType%22%3A%22format%22%2C%22details%22%3A%22%E6%9B%B8%E5%BC%8F%E3%82%92%E5%A4%89%E6%9B%B4%22%2C%22lineNumber%22%3A154%7D%2C%7B%22sheetName%22%3A%22Financial%20Analysis%22%2C%22address%22%3A%22C11%3AG11%22%2C%22changeType%22%3A%22format%22%2C%22details%22%3A%22%E6%9B%B8%E5%BC%8F%E3%82%92%E5%A4%89%E6%9B%B4%22%2C%22lineNumber%22%3A154%7D%2C%7B%22sheetName%22%3A%22Financial%20Analysis%22%2C%22address%22%3A%22C13%3AG13%22%2C%22changeType%22%3A%22format%22%2C%22details%22%3A%22%E6%9B%B8%E5%BC%8F%E3%82%92%E5%A4%89%E6%9B%B4%22%2C%22lineNumber%22%3A154%7D%2C%7B%22sheetName%22%3A%22Financial%20Analysis%22%2C%22address%22%3A%22C15%3AG15%22%2C%22changeType%22%3A%22format%22%2C%22details%22%3A%22%E6%9B%B8%E5%BC%8F%E3%82%92%E5%A4%89%E6%9B%B4%22%2C%22lineNumber%22%3A154%7D%2C%7B%22sheetName%22%3A%22Financial%20Analysis%22%2C%22address%22%3A%22C19%3AG19%22%2C%22changeType%22%3A%22format%22%2C%22details%22%3A%22%E6%9B%B8%E5%BC%8F%E3%82%92%E5%A4%89%E6%9B%B4%22%2C%22lineNumber%22%3A154%7D%2C%7B%22sheetName%22%3A%22Financial%20Analysis%22%2C%22address%22%3A%22C20%3AG20%22%2C%22changeType%22%3A%22format%22%2C%22details%22%3A%22%E6%9B%B8%E5%BC%8F%E3%82%92%E5%A4%89%E6%9B%B4%22%2C%22lineNumber%22%3A154%7D%2C%7B%22sheetName%22%3A%22Financial%20Analysis%22%2C%22address%22%3A%22C21%3AG21%22%2C%22changeType%22%3A%22format%22%2C%22details%22%3A%22%E6%9B%B8%E5%BC%8F%E3%82%92%E5%A4%89%E6%9B%B4%22%2C%22lineNumber%22%3A154%7D%2C%7B%22sheetName%22%3A%22Financial%20Analysis%22%2C%22address%22%3A%22C23%3AG23%22%2C%22changeType%22%3A%22format%22%2C%22details%22%3A%22%E6%9B%B8%E5%BC%8F%E3%82%92%E5%A4%89%E6%9B%B4%22%2C%22lineNumber%22%3A154%7D%2C%7B%22sheetName%22%3A%22Financial%20Analysis%22%2C%22address%22%3A%22C24%3AG24%22%2C%22changeType%22%3A%22format%22%2C%22details%22%3A%22%E6%9B%B8%E5%BC%8F%E3%82%92%E5%A4%89%E6%9B%B4%22%2C%22lineNumber%22%3A154%7D%2C%7B%22sheetName%22%3A%22Financial%20Analysis%22%2C%22address%22%3A%22C25%3AG25%22%2C%22changeType%22%3A%22format%22%2C%22details%22%3A%22%E6%9B%B8%E5%BC%8F%E3%82%92%E5%A4%89%E6%9B%B4%22%2C%22lineNumber%22%3A154%7D%2C%7B%22sheetName%22%3A%22Financial%20Analysis%22%2C%22address%22%3A%22C26%3AG26%22%2C%22changeType%22%3A%22format%22%2C%22details%22%3A%22%E6%9B%B8%E5%BC%8F%E3%82%92%E5%A4%89%E6%9B%B4%22%2C%22lineNumber%22%3A154%7D%2C%7B%22sheetName%22%3A%22Financial%20Analysis%22%2C%22address%22%3A%22C27%3AG27%22%2C%22changeType%22%3A%22format%22%2C%22details%22%3A%22%E6%9B%B8%E5%BC%8F%E3%82%92%E5%A4%89%E6%9B%B4%22%2C%22lineNumber%22%3A154%7D%2C%7B%22sheetName%22%3A%22Financial%20Analysis%22%2C%22address%22%3A%22C28%3AG28%22%2C%22changeType%22%3A%22format%22%2C%22details%22%3A%22%E6%9B%B8%E5%BC%8F%E3%82%92%E5%A4%89%E6%9B%B4%22%2C%22lineNumber%22%3A154%7D%2C%7B%22sheetName%22%3A%22Financial%20Analysis%22%2C%22address%22%3A%22C34%3AG34%22%2C%22changeType%22%3A%22format%22%2C%22details%22%3A%22%E6%9B%B8%E5%BC%8F%E3%82%92%E5%A4%89%E6%9B%B4%22%2C%22lineNumber%22%3A154%7D%2C%7B%22sheetName%22%3A%22Financial%20Analysis%22%2C%22address%22%3A%22C35%3AG35%22%2C%22changeType%22%3A%22format%22%2C%22details%22%3A%22%E6%9B%B8%E5%BC%8F%E3%82%92%E5%A4%89%E6%9B%B4%22%2C%22lineNumber%22%3A154%7D%2C%7B%22sheetName%22%3A%22Financial%20Analysis%22%2C%22address%22%3A%22C36%3AG36%22%2C%22changeType%22%3A%22format%22%2C%22details%22%3A%22%E6%9B%B8%E5%BC%8F%E3%82%92%E5%A4%89%E6%9B%B4%22%2C%22lineNumber%22%3A154%7D%2C%7B%22sheetName%22%3A%22Financial%20Analysis%22%2C%22address%22%3A%22C40%3AG40%22%2C%22changeType%22%3A%22format%22%2C%22details%22%3A%22%E6%9B%B8%E5%BC%8F%E3%82%92%E5%A4%89%E6%9B%B4%22%2C%22lineNumber%22%3A154%7D%2C%7B%22sheetName%22%3A%22Financial%20Analysis%22%2C%22address%22%3A%22C42%3AG42%22%2C%22changeType%22%3A%22format%22%2C%22details%22%3A%22%E6%9B%B8%E5%BC%8F%E3%82%92%E5%A4%89%E6%9B%B4%22%2C%22lineNumber%22%3A154%7D%2C%7B%22sheetName%22%3A%22Financial%20Analysis%22%2C%22address%22%3A%22C43%3AG43%22%2C%22changeType%22%3A%22format%22%2C%22details%22%3A%22%E6%9B%B8%E5%BC%8F%E3%82%92%E5%A4%89%E6%9B%B4%22%2C%22lineNumber%22%3A154%7D%2C%7B%22sheetName%22%3A%22Financial%20Analysis%22%2C%22address%22%3A%22C7%3AG7%22%2C%22changeType%22%3A%22format%22%2C%22details%22%3A%22%E6%9B%B8%E5%BC%8F%E3%82%92%E5%A4%89%E6%9B%B4%22%2C%22lineNumber%22%3A158%7D%2C%7B%22sheetName%22%3A%22Financial%20Analysis%22%2C%22address%22%3A%22C10%3AG10%22%2C%22changeType%22%3A%22format%22%2C%22details%22%3A%22%E6%9B%B8%E5%BC%8F%E3%82%92%E5%A4%89%E6%9B%B4%22%2C%22lineNumber%22%3A158%7D%2C%7B%22sheetName%22%3A%22Financial%20Analysis%22%2C%22address%22%3A%22C12%3AG12%22%2C%22changeType%22%3A%22format%22%2C%22details%22%3A%22%E6%9B%B8%E5%BC%8F%E3%82%92%E5%A4%89%E6%9B%B4%22%2C%22lineNumber%22%3A158%7D%2C%7B%22sheetName%22%3A%22Financial%20Analysis%22%2C%22address%22%3A%22C14%3AG14%22%2C%22changeType%22%3A%22format%22%2C%22details%22%3A%22%E6%9B%B8%E5%BC%8F%E3%82%92%E5%A4%89%E6%9B%B4%22%2C%22lineNumber%22%3A158%7D%2C%7B%22sheetName%22%3A%22Financial%20Analysis%22%2C%22address%22%3A%22C16%3AG16%22%2C%22changeType%22%3A%22format%22%2C%22details%22%3A%22%E6%9B%B8%E5%BC%8F%E3%82%92%E5%A4%89%E6%9B%B4%22%2C%22lineNumber%22%3A158%7D%2C%7B%22sheetName%22%3A%22Financial%20Analysis%22%2C%22address%22%3A%22C29%3AG29%22%2C%22changeType%22%3A%22format%22%2C%22details%22%3A%22%E6%9B%B8%E5%BC%8F%E3%82%92%E5%A4%89%E6%9B%B4%22%2C%22lineNumber%22%3A158%7D%2C%7B%22sheetName%22%3A%22Financial%20Analysis%22%2C%22address%22%3A%22C30%3AG30%22%2C%22changeType%22%3A%22format%22%2C%22details%22%3A%22%E6%9B%B8%E5%BC%8F%E3%82%92%E5%A4%89%E6%9B%B4%22%2C%22lineNumber%22%3A158%7D%2C%7B%22sheetName%22%3A%22Financial%20Analysis%22%2C%22address%22%3A%22C41%3AG41%22%2C%22changeType%22%3A%22format%22%2C%22details%22%3A%22%E6%9B%B8%E5%BC%8F%E3%82%92%E5%A4%89%E6%9B%B4%22%2C%22lineNumber%22%3A158%7D%2C%7B%22sheetName%22%3A%22Financial%20Analysis%22%2C%22address%22%3A%22C22%3AG22%22%2C%22changeType%22%3A%22format%22%2C%22details%22%3A%22%E6%9B%B8%E5%BC%8F%E3%82%92%E5%A4%89%E6%9B%B4%22%2C%22lineNumber%22%3A162%7D%2C%7B%22sheetName%22%3A%22Financial%20Analysis%22%2C%22address%22%3A%22C31%3AG31%22%2C%22changeType%22%3A%22format%22%2C%22details%22%3A%22%E6%9B%B8%E5%BC%8F%E3%82%92%E5%A4%89%E6%9B%B4%22%2C%22lineNumber%22%3A162%7D%2C%7B%22sheetName%22%3A%22Financial%20Analysis%22%2C%22address%22%3A%22C44%3AG44%22%2C%22changeType%22%3A%22format%22%2C%22details%22%3A%22%E6%9B%B8%E5%BC%8F%E3%82%92%E5%A4%89%E6%9B%B4%22%2C%22lineNumber%22%3A162%7D%2C%7B%22sheetName%22%3A%22Financial%20Analysis%22%2C%22address%22%3A%22C37%3AG37%22%2C%22changeType%22%3A%22format%22%2C%22details%22%3A%22%E6%9B%B8%E5%BC%8F%E3%82%92%E5%A4%89%E6%9B%B4%22%2C%22lineNumber%22%3A166%7D%2C%7B%22sheetName%22%3A%22Financial%20Analysis%22%2C%22address%22%3A%22C38%3AG38%22%2C%22changeType%22%3A%22format%22%2C%22details%22%3A%22%E6%9B%B8%E5%BC%8F%E3%82%92%E5%A4%89%E6%9B%B4%22%2C%22lineNumber%22%3A166%7D%2C%7B%22sheetName%22%3A%22Financial%20Analysis%22%2C%22address%22%3A%22C39%3AG39%22%2C%22changeType%22%3A%22format%22%2C%22details%22%3A%22%E6%9B%B8%E5%BC%8F%E3%82%92%E5%A4%89%E6%9B%B4%22%2C%22lineNumber%22%3A166%7D%2C%7B%22sheetName%22%3A%22Financial%20Analysis%22%2C%22address%22%3A%22A6%3AG16%22%2C%22changeType%22%3A%22format%22%2C%22details%22%3A%22%E7%BD%AB%E7%B7%9A%E3%82%92%E5%A4%89%E6%9B%B4%22%2C%22lineNumber%22%3A169%7D%2C%7B%22sheetName%22%3A%22Financial%20Analysis%22%2C%22address%22%3A%22A19%3AG31%22%2C%22changeType%22%3A%22format%22%2C%22details%22%3A%22%E7%BD%AB%E7%B7%9A%E3%82%92%E5%A4%89%E6%9B%B4%22%2C%22lineNumber%22%3A170%7D%2C%7B%22sheetName%22%3A%22Financial%20Analysis%22%2C%22address%22%3A%22A34%3AG44%22%2C%22changeType%22%3A%22format%22%2C%22details%22%3A%22%E7%BD%AB%E7%B7%9A%E3%82%92%E5%A4%89%E6%9B%B4%22%2C%22lineNumber%22%3A171%7D%2C%7B%22sheetName%22%3A%22Financial%20Analysis%22%2C%22address%22%3A%22A55%3AG59%22%2C%22changeType%22%3A%22format%22%2C%22details%22%3A%22%E7%BD%AB%E7%B7%9A%E3%82%92%E5%A4%89%E6%9B%B4%22%2C%22lineNumber%22%3A172%7D%2C%7B%22sheetName%22%3A%22Financial%20Analysis%22%2C%22address%22%3A%22%22%2C%22changeType%22%3A%22structural%22%2C%22details%22%3A%22%E5%90%8D%E5%89%8D%E4%BB%98%E3%81%8D%E7%AF%84%E5%9B%B2%E3%82%92%E7%99%BB%E9%8C%B2%20(_XC_RV_FinAnalysis.Takeaways)%22%2C%22lineNumber%22%3A174%7D%2C%7B%22sheetName%22%3A%22Financial%20Analysis%22%2C%22address%22%3A%22%22%2C%22changeType%22%3A%22structural%22%2C%22details%22%3A%22%E5%90%8D%E5%89%8D%E4%BB%98%E3%81%8D%E7%AF%84%E5%9B%B2%E3%82%92%E7%99%BB%E9%8C%B2%20(_XC_RV_FinAnalysis.Checks)%22%2C%22lineNumber%22%3A175%7D%5D%7D%5D</ChangeLogData>
</ExcelenceChangeLog>
</file>

<file path=customXml/itemProps1.xml><?xml version="1.0" encoding="utf-8"?>
<ds:datastoreItem xmlns:ds="http://schemas.openxmlformats.org/officeDocument/2006/customXml" ds:itemID="{1AAEE674-5E08-4BD4-B436-FC4C549BBEB5}">
  <ds:schemaRefs>
    <ds:schemaRef ds:uri="http://schemas.excelence.com/change-log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Sheet</vt:lpstr>
      <vt:lpstr>P&amp;L</vt:lpstr>
      <vt:lpstr>Cash Flow</vt:lpstr>
      <vt:lpstr>Detailed 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Amaan Alam</dc:creator>
  <cp:lastModifiedBy>Amaan Alam</cp:lastModifiedBy>
  <dcterms:created xsi:type="dcterms:W3CDTF">2026-05-15T11:09:40Z</dcterms:created>
  <dcterms:modified xsi:type="dcterms:W3CDTF">2026-05-15T20:34:57Z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1236fa4c-948f-41d9-bf7c-95b7caf68560</vt:lpwstr>
  </property>
</Properties>
</file>